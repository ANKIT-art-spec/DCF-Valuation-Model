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kitsingh/Downloads/"/>
    </mc:Choice>
  </mc:AlternateContent>
  <xr:revisionPtr revIDLastSave="0" documentId="8_{1B827D22-7A95-DE4D-AE52-20A4C5F4D829}" xr6:coauthVersionLast="47" xr6:coauthVersionMax="47" xr10:uidLastSave="{00000000-0000-0000-0000-000000000000}"/>
  <bookViews>
    <workbookView xWindow="0" yWindow="660" windowWidth="29400" windowHeight="17240" activeTab="1" xr2:uid="{D4886810-D9CC-4231-AA87-2302A306BB27}"/>
  </bookViews>
  <sheets>
    <sheet name="DCF&gt;" sheetId="8" r:id="rId1"/>
    <sheet name="WACC" sheetId="9" r:id="rId2"/>
    <sheet name="DATA1&gt;" sheetId="10" r:id="rId3"/>
    <sheet name="Beta comp" sheetId="12" r:id="rId4"/>
    <sheet name="Rm" sheetId="14" r:id="rId5"/>
    <sheet name="Intrinsic growth" sheetId="13" r:id="rId6"/>
    <sheet name="DCF" sheetId="15" r:id="rId7"/>
    <sheet name="Financials&gt;" sheetId="1" r:id="rId8"/>
    <sheet name="Historical Data" sheetId="6" r:id="rId9"/>
    <sheet name="Ratio Analysis" sheetId="7" r:id="rId10"/>
    <sheet name="Data&gt;" sheetId="4" r:id="rId11"/>
    <sheet name="Data Sheet" sheetId="2" r:id="rId12"/>
    <sheet name="RawFS" sheetId="16" r:id="rId13"/>
    <sheet name="Cash Flow Data" sheetId="5" r:id="rId1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5" l="1"/>
  <c r="G16" i="15"/>
  <c r="H16" i="15"/>
  <c r="I16" i="15"/>
  <c r="E16" i="15"/>
  <c r="C44" i="15"/>
  <c r="C42" i="15"/>
  <c r="C41" i="15"/>
  <c r="C30" i="15"/>
  <c r="F15" i="15"/>
  <c r="G15" i="15" s="1"/>
  <c r="D23" i="15"/>
  <c r="C29" i="15" s="1"/>
  <c r="D11" i="15"/>
  <c r="E11" i="15" s="1"/>
  <c r="F11" i="15" s="1"/>
  <c r="G11" i="15" s="1"/>
  <c r="H11" i="15" s="1"/>
  <c r="E45" i="13"/>
  <c r="F45" i="13"/>
  <c r="G45" i="13"/>
  <c r="H45" i="13"/>
  <c r="D45" i="13"/>
  <c r="E7" i="15"/>
  <c r="F7" i="15" s="1"/>
  <c r="G7" i="15" s="1"/>
  <c r="H7" i="15" s="1"/>
  <c r="I7" i="15" s="1"/>
  <c r="D5" i="15"/>
  <c r="D9" i="15" s="1"/>
  <c r="D3" i="15"/>
  <c r="E3" i="15" s="1"/>
  <c r="F3" i="15" s="1"/>
  <c r="G3" i="15" s="1"/>
  <c r="H3" i="15" s="1"/>
  <c r="I3" i="15" s="1"/>
  <c r="F61" i="13"/>
  <c r="G61" i="13"/>
  <c r="H61" i="13"/>
  <c r="E61" i="13"/>
  <c r="E58" i="13"/>
  <c r="F58" i="13"/>
  <c r="G58" i="13"/>
  <c r="H58" i="13"/>
  <c r="D58" i="13"/>
  <c r="G53" i="13"/>
  <c r="G60" i="13" s="1"/>
  <c r="G63" i="13" s="1"/>
  <c r="H53" i="13"/>
  <c r="H60" i="13" s="1"/>
  <c r="H63" i="13" s="1"/>
  <c r="E53" i="13"/>
  <c r="F52" i="13"/>
  <c r="F53" i="13" s="1"/>
  <c r="F60" i="13" s="1"/>
  <c r="F63" i="13" s="1"/>
  <c r="G52" i="13"/>
  <c r="H52" i="13"/>
  <c r="E52" i="13"/>
  <c r="E50" i="13"/>
  <c r="F50" i="13"/>
  <c r="G50" i="13"/>
  <c r="H50" i="13"/>
  <c r="D50" i="13"/>
  <c r="E48" i="13"/>
  <c r="F48" i="13"/>
  <c r="G48" i="13"/>
  <c r="H48" i="13"/>
  <c r="D48" i="13"/>
  <c r="F46" i="13"/>
  <c r="G46" i="13"/>
  <c r="H46" i="13"/>
  <c r="E46" i="13"/>
  <c r="E43" i="13"/>
  <c r="F43" i="13"/>
  <c r="G43" i="13"/>
  <c r="H43" i="13"/>
  <c r="D43" i="13"/>
  <c r="F4" i="13"/>
  <c r="G4" i="13"/>
  <c r="H4" i="13"/>
  <c r="E4" i="13"/>
  <c r="D4" i="13"/>
  <c r="D40" i="13"/>
  <c r="E40" i="13"/>
  <c r="F40" i="13"/>
  <c r="G40" i="13"/>
  <c r="H40" i="13"/>
  <c r="E38" i="13"/>
  <c r="F38" i="13"/>
  <c r="G38" i="13"/>
  <c r="H38" i="13"/>
  <c r="D38" i="13"/>
  <c r="E37" i="13"/>
  <c r="F37" i="13"/>
  <c r="G37" i="13"/>
  <c r="H37" i="13"/>
  <c r="D37" i="13"/>
  <c r="E35" i="13"/>
  <c r="F35" i="13"/>
  <c r="G35" i="13"/>
  <c r="H35" i="13"/>
  <c r="D35" i="13"/>
  <c r="E34" i="13"/>
  <c r="F34" i="13"/>
  <c r="G34" i="13"/>
  <c r="H34" i="13"/>
  <c r="D34" i="13"/>
  <c r="E33" i="13"/>
  <c r="F33" i="13"/>
  <c r="G33" i="13"/>
  <c r="H33" i="13"/>
  <c r="D33" i="13"/>
  <c r="D24" i="13"/>
  <c r="E24" i="13"/>
  <c r="F24" i="13"/>
  <c r="G24" i="13"/>
  <c r="H24" i="13"/>
  <c r="D25" i="13"/>
  <c r="E25" i="13"/>
  <c r="F25" i="13"/>
  <c r="G25" i="13"/>
  <c r="H25" i="13"/>
  <c r="D26" i="13"/>
  <c r="E26" i="13"/>
  <c r="F26" i="13"/>
  <c r="G26" i="13"/>
  <c r="H26" i="13"/>
  <c r="D27" i="13"/>
  <c r="E27" i="13"/>
  <c r="F27" i="13"/>
  <c r="G27" i="13"/>
  <c r="H27" i="13"/>
  <c r="D28" i="13"/>
  <c r="E28" i="13"/>
  <c r="F28" i="13"/>
  <c r="G28" i="13"/>
  <c r="H28" i="13"/>
  <c r="D29" i="13"/>
  <c r="E29" i="13"/>
  <c r="F29" i="13"/>
  <c r="G29" i="13"/>
  <c r="H29" i="13"/>
  <c r="D30" i="13"/>
  <c r="E30" i="13"/>
  <c r="F30" i="13"/>
  <c r="G30" i="13"/>
  <c r="H30" i="13"/>
  <c r="D31" i="13"/>
  <c r="E31" i="13"/>
  <c r="F31" i="13"/>
  <c r="G31" i="13"/>
  <c r="H31" i="13"/>
  <c r="E23" i="13"/>
  <c r="F23" i="13"/>
  <c r="G23" i="13"/>
  <c r="H23" i="13"/>
  <c r="D23" i="13"/>
  <c r="B31" i="13"/>
  <c r="B24" i="13"/>
  <c r="B25" i="13"/>
  <c r="B26" i="13"/>
  <c r="B27" i="13"/>
  <c r="B28" i="13"/>
  <c r="B29" i="13"/>
  <c r="B30" i="13"/>
  <c r="B23" i="13"/>
  <c r="E19" i="13"/>
  <c r="F19" i="13"/>
  <c r="G19" i="13"/>
  <c r="H19" i="13"/>
  <c r="D19" i="13"/>
  <c r="D15" i="13"/>
  <c r="E15" i="13"/>
  <c r="F15" i="13"/>
  <c r="G15" i="13"/>
  <c r="H15" i="13"/>
  <c r="D16" i="13"/>
  <c r="E16" i="13"/>
  <c r="F16" i="13"/>
  <c r="G16" i="13"/>
  <c r="H16" i="13"/>
  <c r="E14" i="13"/>
  <c r="F14" i="13"/>
  <c r="G14" i="13"/>
  <c r="H14" i="13"/>
  <c r="D14" i="13"/>
  <c r="B16" i="13"/>
  <c r="B15" i="13"/>
  <c r="B14" i="13"/>
  <c r="D10" i="13"/>
  <c r="E10" i="13"/>
  <c r="F10" i="13"/>
  <c r="G10" i="13"/>
  <c r="H10" i="13"/>
  <c r="E9" i="13"/>
  <c r="F9" i="13"/>
  <c r="G9" i="13"/>
  <c r="H9" i="13"/>
  <c r="D9" i="13"/>
  <c r="D8" i="13"/>
  <c r="E8" i="13"/>
  <c r="E11" i="13" s="1"/>
  <c r="F8" i="13"/>
  <c r="F11" i="13" s="1"/>
  <c r="G8" i="13"/>
  <c r="H8" i="13"/>
  <c r="E7" i="13"/>
  <c r="F7" i="13"/>
  <c r="G7" i="13"/>
  <c r="H7" i="13"/>
  <c r="H11" i="13" s="1"/>
  <c r="D7" i="13"/>
  <c r="B10" i="13"/>
  <c r="B9" i="13"/>
  <c r="B8" i="13"/>
  <c r="B7" i="13"/>
  <c r="D13" i="15" l="1"/>
  <c r="E5" i="15"/>
  <c r="H15" i="15"/>
  <c r="H56" i="13"/>
  <c r="E60" i="13"/>
  <c r="E63" i="13" s="1"/>
  <c r="H55" i="13"/>
  <c r="G11" i="13"/>
  <c r="D11" i="13"/>
  <c r="D17" i="13"/>
  <c r="G17" i="13"/>
  <c r="H17" i="13"/>
  <c r="F17" i="13"/>
  <c r="E17" i="13"/>
  <c r="F22" i="9"/>
  <c r="F23" i="9"/>
  <c r="K25" i="9"/>
  <c r="K23" i="9"/>
  <c r="G8" i="14"/>
  <c r="G6" i="14"/>
  <c r="K24" i="9"/>
  <c r="L32" i="9"/>
  <c r="G11" i="9"/>
  <c r="F11" i="9"/>
  <c r="L12" i="9"/>
  <c r="L13" i="9"/>
  <c r="L14" i="9"/>
  <c r="L15" i="9"/>
  <c r="L11" i="9"/>
  <c r="J13" i="9"/>
  <c r="I14" i="9"/>
  <c r="I11" i="9"/>
  <c r="G12" i="9"/>
  <c r="J12" i="9" s="1"/>
  <c r="G13" i="9"/>
  <c r="G14" i="9"/>
  <c r="G15" i="9"/>
  <c r="D31" i="9"/>
  <c r="F12" i="9"/>
  <c r="I12" i="9" s="1"/>
  <c r="F13" i="9"/>
  <c r="I13" i="9" s="1"/>
  <c r="F14" i="9"/>
  <c r="J14" i="9" s="1"/>
  <c r="F15" i="9"/>
  <c r="J15" i="9" s="1"/>
  <c r="D30" i="9"/>
  <c r="D32" i="9" s="1"/>
  <c r="E31" i="9" s="1"/>
  <c r="L31" i="9"/>
  <c r="F24" i="9"/>
  <c r="K37" i="9" s="1"/>
  <c r="K18" i="9"/>
  <c r="K17" i="9"/>
  <c r="H18" i="9"/>
  <c r="H17" i="9"/>
  <c r="D40" i="7"/>
  <c r="E40" i="7"/>
  <c r="F40" i="7"/>
  <c r="G40" i="7"/>
  <c r="H40" i="7"/>
  <c r="I40" i="7"/>
  <c r="J40" i="7"/>
  <c r="K40" i="7"/>
  <c r="L40" i="7"/>
  <c r="D41" i="7"/>
  <c r="E41" i="7"/>
  <c r="F41" i="7"/>
  <c r="G41" i="7"/>
  <c r="H41" i="7"/>
  <c r="I41" i="7"/>
  <c r="J41" i="7"/>
  <c r="K41" i="7"/>
  <c r="L41" i="7"/>
  <c r="D42" i="7"/>
  <c r="E42" i="7"/>
  <c r="F42" i="7"/>
  <c r="G42" i="7"/>
  <c r="H42" i="7"/>
  <c r="I42" i="7"/>
  <c r="J42" i="7"/>
  <c r="K42" i="7"/>
  <c r="L42" i="7"/>
  <c r="C42" i="7"/>
  <c r="C41" i="7"/>
  <c r="C40" i="7"/>
  <c r="D35" i="7"/>
  <c r="E35" i="7"/>
  <c r="F35" i="7"/>
  <c r="G35" i="7"/>
  <c r="H35" i="7"/>
  <c r="I35" i="7"/>
  <c r="J35" i="7"/>
  <c r="J38" i="7" s="1"/>
  <c r="K35" i="7"/>
  <c r="L35" i="7"/>
  <c r="D36" i="7"/>
  <c r="D38" i="7" s="1"/>
  <c r="E36" i="7"/>
  <c r="F36" i="7"/>
  <c r="G36" i="7"/>
  <c r="H36" i="7"/>
  <c r="I36" i="7"/>
  <c r="J36" i="7"/>
  <c r="K36" i="7"/>
  <c r="K38" i="7" s="1"/>
  <c r="L36" i="7"/>
  <c r="L38" i="7" s="1"/>
  <c r="D37" i="7"/>
  <c r="E37" i="7"/>
  <c r="E38" i="7" s="1"/>
  <c r="F37" i="7"/>
  <c r="G37" i="7"/>
  <c r="H37" i="7"/>
  <c r="I37" i="7"/>
  <c r="J37" i="7"/>
  <c r="K37" i="7"/>
  <c r="L37" i="7"/>
  <c r="F38" i="7"/>
  <c r="G38" i="7"/>
  <c r="H38" i="7"/>
  <c r="I38" i="7"/>
  <c r="C35" i="7"/>
  <c r="D28" i="7"/>
  <c r="E28" i="7"/>
  <c r="F28" i="7"/>
  <c r="G28" i="7"/>
  <c r="H28" i="7"/>
  <c r="I28" i="7"/>
  <c r="J28" i="7"/>
  <c r="K28" i="7"/>
  <c r="L28" i="7"/>
  <c r="D29" i="7"/>
  <c r="E29" i="7"/>
  <c r="F29" i="7"/>
  <c r="G29" i="7"/>
  <c r="H29" i="7"/>
  <c r="I29" i="7"/>
  <c r="J29" i="7"/>
  <c r="K29" i="7"/>
  <c r="L29" i="7"/>
  <c r="D30" i="7"/>
  <c r="E30" i="7"/>
  <c r="F30" i="7"/>
  <c r="G30" i="7"/>
  <c r="H30" i="7"/>
  <c r="I30" i="7"/>
  <c r="J30" i="7"/>
  <c r="K30" i="7"/>
  <c r="L30" i="7"/>
  <c r="D31" i="7"/>
  <c r="E31" i="7"/>
  <c r="F31" i="7"/>
  <c r="G31" i="7"/>
  <c r="H31" i="7"/>
  <c r="I31" i="7"/>
  <c r="J31" i="7"/>
  <c r="K31" i="7"/>
  <c r="L31" i="7"/>
  <c r="D32" i="7"/>
  <c r="E32" i="7"/>
  <c r="F32" i="7"/>
  <c r="G32" i="7"/>
  <c r="H32" i="7"/>
  <c r="I32" i="7"/>
  <c r="J32" i="7"/>
  <c r="K32" i="7"/>
  <c r="L32" i="7"/>
  <c r="C32" i="7"/>
  <c r="C31" i="7"/>
  <c r="C30" i="7"/>
  <c r="C37" i="7" s="1"/>
  <c r="C29" i="7"/>
  <c r="C36" i="7" s="1"/>
  <c r="C28" i="7"/>
  <c r="C38" i="7" s="1"/>
  <c r="D22" i="7"/>
  <c r="E22" i="7"/>
  <c r="F22" i="7"/>
  <c r="G22" i="7"/>
  <c r="H22" i="7"/>
  <c r="I22" i="7"/>
  <c r="J22" i="7"/>
  <c r="K22" i="7"/>
  <c r="L22" i="7"/>
  <c r="D23" i="7"/>
  <c r="E23" i="7"/>
  <c r="F23" i="7"/>
  <c r="F25" i="7" s="1"/>
  <c r="G23" i="7"/>
  <c r="G25" i="7" s="1"/>
  <c r="H23" i="7"/>
  <c r="H25" i="7" s="1"/>
  <c r="I23" i="7"/>
  <c r="I25" i="7" s="1"/>
  <c r="J23" i="7"/>
  <c r="J25" i="7" s="1"/>
  <c r="K23" i="7"/>
  <c r="L23" i="7"/>
  <c r="D24" i="7"/>
  <c r="E24" i="7"/>
  <c r="E25" i="7" s="1"/>
  <c r="F24" i="7"/>
  <c r="G24" i="7"/>
  <c r="H24" i="7"/>
  <c r="I24" i="7"/>
  <c r="J24" i="7"/>
  <c r="K24" i="7"/>
  <c r="L24" i="7"/>
  <c r="D26" i="7"/>
  <c r="E26" i="7"/>
  <c r="F26" i="7"/>
  <c r="G26" i="7"/>
  <c r="H26" i="7"/>
  <c r="I26" i="7"/>
  <c r="J26" i="7"/>
  <c r="K26" i="7"/>
  <c r="L26" i="7"/>
  <c r="C26" i="7"/>
  <c r="C22" i="7"/>
  <c r="C24" i="7"/>
  <c r="C23" i="7"/>
  <c r="C25" i="7" s="1"/>
  <c r="D18" i="7"/>
  <c r="E18" i="7"/>
  <c r="F18" i="7"/>
  <c r="G18" i="7"/>
  <c r="H18" i="7"/>
  <c r="I18" i="7"/>
  <c r="J18" i="7"/>
  <c r="K18" i="7"/>
  <c r="L18" i="7"/>
  <c r="D19" i="7"/>
  <c r="E19" i="7"/>
  <c r="F19" i="7"/>
  <c r="G19" i="7"/>
  <c r="H19" i="7"/>
  <c r="I19" i="7"/>
  <c r="J19" i="7"/>
  <c r="K19" i="7"/>
  <c r="L19" i="7"/>
  <c r="C20" i="7"/>
  <c r="C19" i="7"/>
  <c r="C18" i="7"/>
  <c r="D12" i="7"/>
  <c r="E12" i="7"/>
  <c r="F12" i="7"/>
  <c r="G12" i="7"/>
  <c r="H12" i="7"/>
  <c r="I12" i="7"/>
  <c r="J12" i="7"/>
  <c r="K12" i="7"/>
  <c r="L12" i="7"/>
  <c r="D13" i="7"/>
  <c r="E13" i="7"/>
  <c r="F13" i="7"/>
  <c r="G13" i="7"/>
  <c r="H13" i="7"/>
  <c r="I13" i="7"/>
  <c r="J13" i="7"/>
  <c r="K13" i="7"/>
  <c r="L13" i="7"/>
  <c r="D14" i="7"/>
  <c r="D20" i="7" s="1"/>
  <c r="E14" i="7"/>
  <c r="E20" i="7" s="1"/>
  <c r="F14" i="7"/>
  <c r="F20" i="7" s="1"/>
  <c r="G14" i="7"/>
  <c r="G20" i="7" s="1"/>
  <c r="H14" i="7"/>
  <c r="H20" i="7" s="1"/>
  <c r="I14" i="7"/>
  <c r="I20" i="7" s="1"/>
  <c r="J14" i="7"/>
  <c r="J20" i="7" s="1"/>
  <c r="K14" i="7"/>
  <c r="K20" i="7" s="1"/>
  <c r="L14" i="7"/>
  <c r="L20" i="7" s="1"/>
  <c r="D15" i="7"/>
  <c r="E15" i="7"/>
  <c r="F15" i="7"/>
  <c r="G15" i="7"/>
  <c r="H15" i="7"/>
  <c r="I15" i="7"/>
  <c r="J15" i="7"/>
  <c r="K15" i="7"/>
  <c r="L15" i="7"/>
  <c r="D16" i="7"/>
  <c r="E16" i="7"/>
  <c r="F16" i="7"/>
  <c r="G16" i="7"/>
  <c r="H16" i="7"/>
  <c r="I16" i="7"/>
  <c r="J16" i="7"/>
  <c r="K16" i="7"/>
  <c r="L16" i="7"/>
  <c r="C14" i="7"/>
  <c r="C16" i="7"/>
  <c r="C15" i="7"/>
  <c r="C13" i="7"/>
  <c r="C12" i="7"/>
  <c r="B2" i="6"/>
  <c r="B3" i="7"/>
  <c r="E6" i="7"/>
  <c r="F6" i="7"/>
  <c r="G6" i="7"/>
  <c r="H6" i="7"/>
  <c r="I6" i="7"/>
  <c r="J6" i="7"/>
  <c r="K6" i="7"/>
  <c r="L6" i="7"/>
  <c r="E7" i="7"/>
  <c r="F7" i="7"/>
  <c r="G7" i="7"/>
  <c r="H7" i="7"/>
  <c r="I7" i="7"/>
  <c r="J7" i="7"/>
  <c r="K7" i="7"/>
  <c r="L7" i="7"/>
  <c r="E8" i="7"/>
  <c r="F8" i="7"/>
  <c r="G8" i="7"/>
  <c r="H8" i="7"/>
  <c r="I8" i="7"/>
  <c r="J8" i="7"/>
  <c r="K8" i="7"/>
  <c r="L8" i="7"/>
  <c r="E9" i="7"/>
  <c r="F9" i="7"/>
  <c r="G9" i="7"/>
  <c r="H9" i="7"/>
  <c r="I9" i="7"/>
  <c r="J9" i="7"/>
  <c r="K9" i="7"/>
  <c r="L9" i="7"/>
  <c r="E10" i="7"/>
  <c r="F10" i="7"/>
  <c r="G10" i="7"/>
  <c r="H10" i="7"/>
  <c r="I10" i="7"/>
  <c r="J10" i="7"/>
  <c r="K10" i="7"/>
  <c r="L10" i="7"/>
  <c r="D10" i="7"/>
  <c r="D9" i="7"/>
  <c r="D8" i="7"/>
  <c r="D7" i="7"/>
  <c r="D6" i="7"/>
  <c r="D4" i="7"/>
  <c r="E4" i="7"/>
  <c r="F4" i="7"/>
  <c r="G4" i="7"/>
  <c r="H4" i="7"/>
  <c r="I4" i="7"/>
  <c r="J4" i="7"/>
  <c r="K4" i="7"/>
  <c r="L4" i="7"/>
  <c r="C4" i="7"/>
  <c r="D106" i="6"/>
  <c r="E106" i="6"/>
  <c r="F106" i="6"/>
  <c r="G106" i="6"/>
  <c r="H106" i="6"/>
  <c r="I106" i="6"/>
  <c r="J106" i="6"/>
  <c r="K106" i="6"/>
  <c r="L106" i="6"/>
  <c r="C106" i="6"/>
  <c r="D104" i="6"/>
  <c r="E104" i="6"/>
  <c r="F104" i="6"/>
  <c r="G104" i="6"/>
  <c r="H104" i="6"/>
  <c r="I104" i="6"/>
  <c r="J104" i="6"/>
  <c r="K104" i="6"/>
  <c r="L104" i="6"/>
  <c r="C104" i="6"/>
  <c r="D95" i="6"/>
  <c r="E95" i="6"/>
  <c r="F95" i="6"/>
  <c r="G95" i="6"/>
  <c r="H95" i="6"/>
  <c r="I95" i="6"/>
  <c r="J95" i="6"/>
  <c r="K95" i="6"/>
  <c r="L95" i="6"/>
  <c r="D96" i="6"/>
  <c r="E96" i="6"/>
  <c r="F96" i="6"/>
  <c r="G96" i="6"/>
  <c r="H96" i="6"/>
  <c r="I96" i="6"/>
  <c r="J96" i="6"/>
  <c r="K96" i="6"/>
  <c r="L96" i="6"/>
  <c r="D97" i="6"/>
  <c r="E97" i="6"/>
  <c r="F97" i="6"/>
  <c r="G97" i="6"/>
  <c r="H97" i="6"/>
  <c r="I97" i="6"/>
  <c r="J97" i="6"/>
  <c r="K97" i="6"/>
  <c r="L97" i="6"/>
  <c r="D98" i="6"/>
  <c r="E98" i="6"/>
  <c r="F98" i="6"/>
  <c r="G98" i="6"/>
  <c r="H98" i="6"/>
  <c r="I98" i="6"/>
  <c r="J98" i="6"/>
  <c r="K98" i="6"/>
  <c r="L98" i="6"/>
  <c r="D99" i="6"/>
  <c r="E99" i="6"/>
  <c r="F99" i="6"/>
  <c r="G99" i="6"/>
  <c r="H99" i="6"/>
  <c r="I99" i="6"/>
  <c r="J99" i="6"/>
  <c r="K99" i="6"/>
  <c r="L99" i="6"/>
  <c r="D100" i="6"/>
  <c r="E100" i="6"/>
  <c r="F100" i="6"/>
  <c r="G100" i="6"/>
  <c r="H100" i="6"/>
  <c r="I100" i="6"/>
  <c r="J100" i="6"/>
  <c r="K100" i="6"/>
  <c r="L100" i="6"/>
  <c r="D101" i="6"/>
  <c r="E101" i="6"/>
  <c r="F101" i="6"/>
  <c r="G101" i="6"/>
  <c r="H101" i="6"/>
  <c r="I101" i="6"/>
  <c r="J101" i="6"/>
  <c r="K101" i="6"/>
  <c r="L101" i="6"/>
  <c r="D102" i="6"/>
  <c r="E102" i="6"/>
  <c r="F102" i="6"/>
  <c r="G102" i="6"/>
  <c r="H102" i="6"/>
  <c r="I102" i="6"/>
  <c r="J102" i="6"/>
  <c r="K102" i="6"/>
  <c r="L102" i="6"/>
  <c r="D103" i="6"/>
  <c r="E103" i="6"/>
  <c r="F103" i="6"/>
  <c r="G103" i="6"/>
  <c r="H103" i="6"/>
  <c r="I103" i="6"/>
  <c r="J103" i="6"/>
  <c r="K103" i="6"/>
  <c r="L103" i="6"/>
  <c r="C96" i="6"/>
  <c r="C97" i="6"/>
  <c r="C98" i="6"/>
  <c r="C99" i="6"/>
  <c r="C100" i="6"/>
  <c r="C101" i="6"/>
  <c r="C102" i="6"/>
  <c r="C103" i="6"/>
  <c r="C95" i="6"/>
  <c r="D92" i="6"/>
  <c r="E92" i="6"/>
  <c r="F92" i="6"/>
  <c r="G92" i="6"/>
  <c r="H92" i="6"/>
  <c r="I92" i="6"/>
  <c r="J92" i="6"/>
  <c r="K92" i="6"/>
  <c r="L92" i="6"/>
  <c r="C92" i="6"/>
  <c r="D80" i="6"/>
  <c r="E80" i="6"/>
  <c r="F80" i="6"/>
  <c r="G80" i="6"/>
  <c r="H80" i="6"/>
  <c r="I80" i="6"/>
  <c r="J80" i="6"/>
  <c r="K80" i="6"/>
  <c r="L80" i="6"/>
  <c r="D81" i="6"/>
  <c r="E81" i="6"/>
  <c r="F81" i="6"/>
  <c r="G81" i="6"/>
  <c r="H81" i="6"/>
  <c r="I81" i="6"/>
  <c r="J81" i="6"/>
  <c r="K81" i="6"/>
  <c r="L81" i="6"/>
  <c r="D82" i="6"/>
  <c r="E82" i="6"/>
  <c r="F82" i="6"/>
  <c r="G82" i="6"/>
  <c r="H82" i="6"/>
  <c r="I82" i="6"/>
  <c r="J82" i="6"/>
  <c r="K82" i="6"/>
  <c r="L82" i="6"/>
  <c r="D83" i="6"/>
  <c r="E83" i="6"/>
  <c r="F83" i="6"/>
  <c r="G83" i="6"/>
  <c r="H83" i="6"/>
  <c r="I83" i="6"/>
  <c r="J83" i="6"/>
  <c r="K83" i="6"/>
  <c r="L83" i="6"/>
  <c r="D84" i="6"/>
  <c r="E84" i="6"/>
  <c r="F84" i="6"/>
  <c r="G84" i="6"/>
  <c r="H84" i="6"/>
  <c r="I84" i="6"/>
  <c r="J84" i="6"/>
  <c r="K84" i="6"/>
  <c r="L84" i="6"/>
  <c r="D85" i="6"/>
  <c r="E85" i="6"/>
  <c r="F85" i="6"/>
  <c r="G85" i="6"/>
  <c r="H85" i="6"/>
  <c r="I85" i="6"/>
  <c r="J85" i="6"/>
  <c r="K85" i="6"/>
  <c r="L85" i="6"/>
  <c r="D86" i="6"/>
  <c r="E86" i="6"/>
  <c r="F86" i="6"/>
  <c r="G86" i="6"/>
  <c r="H86" i="6"/>
  <c r="I86" i="6"/>
  <c r="J86" i="6"/>
  <c r="K86" i="6"/>
  <c r="L86" i="6"/>
  <c r="D87" i="6"/>
  <c r="E87" i="6"/>
  <c r="F87" i="6"/>
  <c r="G87" i="6"/>
  <c r="H87" i="6"/>
  <c r="I87" i="6"/>
  <c r="J87" i="6"/>
  <c r="K87" i="6"/>
  <c r="L87" i="6"/>
  <c r="D88" i="6"/>
  <c r="E88" i="6"/>
  <c r="F88" i="6"/>
  <c r="G88" i="6"/>
  <c r="H88" i="6"/>
  <c r="I88" i="6"/>
  <c r="J88" i="6"/>
  <c r="K88" i="6"/>
  <c r="L88" i="6"/>
  <c r="D89" i="6"/>
  <c r="E89" i="6"/>
  <c r="F89" i="6"/>
  <c r="G89" i="6"/>
  <c r="H89" i="6"/>
  <c r="I89" i="6"/>
  <c r="J89" i="6"/>
  <c r="K89" i="6"/>
  <c r="L89" i="6"/>
  <c r="D90" i="6"/>
  <c r="E90" i="6"/>
  <c r="F90" i="6"/>
  <c r="G90" i="6"/>
  <c r="H90" i="6"/>
  <c r="I90" i="6"/>
  <c r="J90" i="6"/>
  <c r="K90" i="6"/>
  <c r="L90" i="6"/>
  <c r="D91" i="6"/>
  <c r="E91" i="6"/>
  <c r="F91" i="6"/>
  <c r="G91" i="6"/>
  <c r="H91" i="6"/>
  <c r="I91" i="6"/>
  <c r="J91" i="6"/>
  <c r="K91" i="6"/>
  <c r="L91" i="6"/>
  <c r="C81" i="6"/>
  <c r="C82" i="6"/>
  <c r="C83" i="6"/>
  <c r="C84" i="6"/>
  <c r="C85" i="6"/>
  <c r="C86" i="6"/>
  <c r="C87" i="6"/>
  <c r="C88" i="6"/>
  <c r="C89" i="6"/>
  <c r="C90" i="6"/>
  <c r="C91" i="6"/>
  <c r="C80" i="6"/>
  <c r="D77" i="6"/>
  <c r="E77" i="6"/>
  <c r="F77" i="6"/>
  <c r="G77" i="6"/>
  <c r="H77" i="6"/>
  <c r="I77" i="6"/>
  <c r="J77" i="6"/>
  <c r="K77" i="6"/>
  <c r="L77" i="6"/>
  <c r="C77" i="6"/>
  <c r="D69" i="6"/>
  <c r="E69" i="6"/>
  <c r="F69" i="6"/>
  <c r="G69" i="6"/>
  <c r="H69" i="6"/>
  <c r="I69" i="6"/>
  <c r="J69" i="6"/>
  <c r="K69" i="6"/>
  <c r="L69" i="6"/>
  <c r="D70" i="6"/>
  <c r="E70" i="6"/>
  <c r="F70" i="6"/>
  <c r="G70" i="6"/>
  <c r="H70" i="6"/>
  <c r="I70" i="6"/>
  <c r="J70" i="6"/>
  <c r="K70" i="6"/>
  <c r="L70" i="6"/>
  <c r="D71" i="6"/>
  <c r="E71" i="6"/>
  <c r="F71" i="6"/>
  <c r="G71" i="6"/>
  <c r="H71" i="6"/>
  <c r="I71" i="6"/>
  <c r="J71" i="6"/>
  <c r="K71" i="6"/>
  <c r="L71" i="6"/>
  <c r="D72" i="6"/>
  <c r="E72" i="6"/>
  <c r="F72" i="6"/>
  <c r="G72" i="6"/>
  <c r="H72" i="6"/>
  <c r="I72" i="6"/>
  <c r="J72" i="6"/>
  <c r="K72" i="6"/>
  <c r="L72" i="6"/>
  <c r="D73" i="6"/>
  <c r="E73" i="6"/>
  <c r="F73" i="6"/>
  <c r="G73" i="6"/>
  <c r="H73" i="6"/>
  <c r="I73" i="6"/>
  <c r="J73" i="6"/>
  <c r="K73" i="6"/>
  <c r="L73" i="6"/>
  <c r="D74" i="6"/>
  <c r="E74" i="6"/>
  <c r="F74" i="6"/>
  <c r="G74" i="6"/>
  <c r="H74" i="6"/>
  <c r="I74" i="6"/>
  <c r="J74" i="6"/>
  <c r="K74" i="6"/>
  <c r="L74" i="6"/>
  <c r="D75" i="6"/>
  <c r="E75" i="6"/>
  <c r="F75" i="6"/>
  <c r="G75" i="6"/>
  <c r="H75" i="6"/>
  <c r="I75" i="6"/>
  <c r="J75" i="6"/>
  <c r="K75" i="6"/>
  <c r="L75" i="6"/>
  <c r="D76" i="6"/>
  <c r="E76" i="6"/>
  <c r="F76" i="6"/>
  <c r="G76" i="6"/>
  <c r="H76" i="6"/>
  <c r="I76" i="6"/>
  <c r="J76" i="6"/>
  <c r="K76" i="6"/>
  <c r="L76" i="6"/>
  <c r="C70" i="6"/>
  <c r="C71" i="6"/>
  <c r="C72" i="6"/>
  <c r="C74" i="6"/>
  <c r="C75" i="6"/>
  <c r="C76" i="6"/>
  <c r="C69" i="6"/>
  <c r="D55" i="6"/>
  <c r="E55" i="6"/>
  <c r="F55" i="6"/>
  <c r="G55" i="6"/>
  <c r="H55" i="6"/>
  <c r="I55" i="6"/>
  <c r="J55" i="6"/>
  <c r="K55" i="6"/>
  <c r="L55" i="6"/>
  <c r="C55" i="6"/>
  <c r="C59" i="6"/>
  <c r="D59" i="6"/>
  <c r="E59" i="6"/>
  <c r="F59" i="6"/>
  <c r="G59" i="6"/>
  <c r="H59" i="6"/>
  <c r="I59" i="6"/>
  <c r="J59" i="6"/>
  <c r="K59" i="6"/>
  <c r="L59" i="6"/>
  <c r="C60" i="6"/>
  <c r="D60" i="6"/>
  <c r="E60" i="6"/>
  <c r="F60" i="6"/>
  <c r="G60" i="6"/>
  <c r="H60" i="6"/>
  <c r="I60" i="6"/>
  <c r="J60" i="6"/>
  <c r="K60" i="6"/>
  <c r="L60" i="6"/>
  <c r="D58" i="6"/>
  <c r="E58" i="6"/>
  <c r="F58" i="6"/>
  <c r="G58" i="6"/>
  <c r="H58" i="6"/>
  <c r="I58" i="6"/>
  <c r="J58" i="6"/>
  <c r="K58" i="6"/>
  <c r="L58" i="6"/>
  <c r="C58" i="6"/>
  <c r="C53" i="6"/>
  <c r="D53" i="6"/>
  <c r="E53" i="6"/>
  <c r="F53" i="6"/>
  <c r="G53" i="6"/>
  <c r="H53" i="6"/>
  <c r="I53" i="6"/>
  <c r="J53" i="6"/>
  <c r="K53" i="6"/>
  <c r="L53" i="6"/>
  <c r="C54" i="6"/>
  <c r="D54" i="6"/>
  <c r="E54" i="6"/>
  <c r="F54" i="6"/>
  <c r="G54" i="6"/>
  <c r="H54" i="6"/>
  <c r="I54" i="6"/>
  <c r="J54" i="6"/>
  <c r="K54" i="6"/>
  <c r="L54" i="6"/>
  <c r="D52" i="6"/>
  <c r="E52" i="6"/>
  <c r="F52" i="6"/>
  <c r="G52" i="6"/>
  <c r="H52" i="6"/>
  <c r="I52" i="6"/>
  <c r="J52" i="6"/>
  <c r="K52" i="6"/>
  <c r="L52" i="6"/>
  <c r="C52" i="6"/>
  <c r="C47" i="6"/>
  <c r="D47" i="6"/>
  <c r="E47" i="6"/>
  <c r="F47" i="6"/>
  <c r="G47" i="6"/>
  <c r="H47" i="6"/>
  <c r="I47" i="6"/>
  <c r="J47" i="6"/>
  <c r="K47" i="6"/>
  <c r="L47" i="6"/>
  <c r="C48" i="6"/>
  <c r="D48" i="6"/>
  <c r="E48" i="6"/>
  <c r="F48" i="6"/>
  <c r="G48" i="6"/>
  <c r="H48" i="6"/>
  <c r="I48" i="6"/>
  <c r="J48" i="6"/>
  <c r="K48" i="6"/>
  <c r="L48" i="6"/>
  <c r="C49" i="6"/>
  <c r="D49" i="6"/>
  <c r="E49" i="6"/>
  <c r="F49" i="6"/>
  <c r="G49" i="6"/>
  <c r="H49" i="6"/>
  <c r="I49" i="6"/>
  <c r="J49" i="6"/>
  <c r="K49" i="6"/>
  <c r="L49" i="6"/>
  <c r="C50" i="6"/>
  <c r="D50" i="6"/>
  <c r="E50" i="6"/>
  <c r="F50" i="6"/>
  <c r="G50" i="6"/>
  <c r="H50" i="6"/>
  <c r="I50" i="6"/>
  <c r="J50" i="6"/>
  <c r="K50" i="6"/>
  <c r="L50" i="6"/>
  <c r="D46" i="6"/>
  <c r="E46" i="6"/>
  <c r="F46" i="6"/>
  <c r="G46" i="6"/>
  <c r="H46" i="6"/>
  <c r="I46" i="6"/>
  <c r="J46" i="6"/>
  <c r="K46" i="6"/>
  <c r="L46" i="6"/>
  <c r="C46" i="6"/>
  <c r="M39" i="6"/>
  <c r="D34" i="6"/>
  <c r="D39" i="6" s="1"/>
  <c r="E34" i="6"/>
  <c r="E39" i="6" s="1"/>
  <c r="F34" i="6"/>
  <c r="F39" i="6" s="1"/>
  <c r="G34" i="6"/>
  <c r="G39" i="6" s="1"/>
  <c r="H34" i="6"/>
  <c r="H39" i="6" s="1"/>
  <c r="I34" i="6"/>
  <c r="I39" i="6" s="1"/>
  <c r="J34" i="6"/>
  <c r="J39" i="6" s="1"/>
  <c r="K34" i="6"/>
  <c r="K39" i="6" s="1"/>
  <c r="L34" i="6"/>
  <c r="L39" i="6" s="1"/>
  <c r="C34" i="6"/>
  <c r="C39" i="6" s="1"/>
  <c r="M28" i="6"/>
  <c r="D28" i="6"/>
  <c r="E28" i="6"/>
  <c r="F28" i="6"/>
  <c r="G28" i="6"/>
  <c r="H28" i="6"/>
  <c r="I28" i="6"/>
  <c r="J28" i="6"/>
  <c r="K28" i="6"/>
  <c r="L28" i="6"/>
  <c r="C28" i="6"/>
  <c r="M22" i="6"/>
  <c r="D22" i="6"/>
  <c r="E22" i="6"/>
  <c r="F22" i="6"/>
  <c r="G22" i="6"/>
  <c r="H22" i="6"/>
  <c r="I22" i="6"/>
  <c r="J22" i="6"/>
  <c r="K22" i="6"/>
  <c r="L22" i="6"/>
  <c r="C22" i="6"/>
  <c r="M19" i="6"/>
  <c r="D19" i="6"/>
  <c r="E19" i="6"/>
  <c r="F19" i="6"/>
  <c r="G19" i="6"/>
  <c r="H19" i="6"/>
  <c r="I19" i="6"/>
  <c r="J19" i="6"/>
  <c r="K19" i="6"/>
  <c r="L19" i="6"/>
  <c r="C19" i="6"/>
  <c r="M16" i="6"/>
  <c r="D13" i="6"/>
  <c r="E13" i="6"/>
  <c r="F13" i="6"/>
  <c r="G13" i="6"/>
  <c r="G14" i="6" s="1"/>
  <c r="H13" i="6"/>
  <c r="I13" i="6"/>
  <c r="J13" i="6"/>
  <c r="K13" i="6"/>
  <c r="L13" i="6"/>
  <c r="M13" i="6"/>
  <c r="C13" i="6"/>
  <c r="M8" i="6"/>
  <c r="D8" i="6"/>
  <c r="E8" i="6"/>
  <c r="F8" i="6"/>
  <c r="G8" i="6"/>
  <c r="H8" i="6"/>
  <c r="I8" i="6"/>
  <c r="J8" i="6"/>
  <c r="K8" i="6"/>
  <c r="L8" i="6"/>
  <c r="C8" i="6"/>
  <c r="M5" i="6"/>
  <c r="D5" i="6"/>
  <c r="E5" i="6"/>
  <c r="F5" i="6"/>
  <c r="G5" i="6"/>
  <c r="H5" i="6"/>
  <c r="I5" i="6"/>
  <c r="I11" i="6" s="1"/>
  <c r="J5" i="6"/>
  <c r="K5" i="6"/>
  <c r="L5" i="6"/>
  <c r="C5" i="6"/>
  <c r="L3" i="6"/>
  <c r="D3" i="6"/>
  <c r="E3" i="6"/>
  <c r="F3" i="6"/>
  <c r="G3" i="6"/>
  <c r="H3" i="6"/>
  <c r="I3" i="6"/>
  <c r="J3" i="6"/>
  <c r="K3" i="6"/>
  <c r="C3" i="6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F5" i="15" l="1"/>
  <c r="E9" i="15"/>
  <c r="E13" i="15" s="1"/>
  <c r="E18" i="15" s="1"/>
  <c r="I15" i="15"/>
  <c r="H66" i="13"/>
  <c r="H65" i="13"/>
  <c r="J11" i="9"/>
  <c r="I15" i="9"/>
  <c r="E30" i="9"/>
  <c r="J17" i="9"/>
  <c r="F30" i="9" s="1"/>
  <c r="L37" i="9" s="1"/>
  <c r="J18" i="9"/>
  <c r="L18" i="9"/>
  <c r="L29" i="9" s="1"/>
  <c r="L17" i="9"/>
  <c r="I17" i="9"/>
  <c r="I18" i="9"/>
  <c r="D25" i="7"/>
  <c r="L25" i="7"/>
  <c r="K25" i="7"/>
  <c r="L6" i="6"/>
  <c r="H6" i="6"/>
  <c r="J61" i="6"/>
  <c r="I61" i="6"/>
  <c r="E23" i="6"/>
  <c r="K61" i="6"/>
  <c r="G61" i="6"/>
  <c r="G63" i="6" s="1"/>
  <c r="G65" i="6" s="1"/>
  <c r="F61" i="6"/>
  <c r="F63" i="6" s="1"/>
  <c r="F65" i="6" s="1"/>
  <c r="E61" i="6"/>
  <c r="E63" i="6" s="1"/>
  <c r="E65" i="6" s="1"/>
  <c r="H56" i="6"/>
  <c r="H63" i="6" s="1"/>
  <c r="H65" i="6" s="1"/>
  <c r="H61" i="6"/>
  <c r="G56" i="6"/>
  <c r="D56" i="6"/>
  <c r="C56" i="6"/>
  <c r="C61" i="6"/>
  <c r="C63" i="6" s="1"/>
  <c r="C65" i="6" s="1"/>
  <c r="E56" i="6"/>
  <c r="D61" i="6"/>
  <c r="L56" i="6"/>
  <c r="L61" i="6"/>
  <c r="L63" i="6" s="1"/>
  <c r="L65" i="6" s="1"/>
  <c r="G20" i="6"/>
  <c r="H23" i="6"/>
  <c r="K56" i="6"/>
  <c r="D14" i="6"/>
  <c r="F20" i="6"/>
  <c r="G23" i="6"/>
  <c r="J56" i="6"/>
  <c r="J63" i="6" s="1"/>
  <c r="J65" i="6" s="1"/>
  <c r="F56" i="6"/>
  <c r="J6" i="6"/>
  <c r="F23" i="6"/>
  <c r="I56" i="6"/>
  <c r="I63" i="6" s="1"/>
  <c r="I65" i="6" s="1"/>
  <c r="M20" i="6"/>
  <c r="M23" i="6"/>
  <c r="M14" i="6"/>
  <c r="M17" i="6"/>
  <c r="C14" i="6"/>
  <c r="E6" i="6"/>
  <c r="L14" i="6"/>
  <c r="F6" i="6"/>
  <c r="G9" i="6"/>
  <c r="K20" i="6"/>
  <c r="L23" i="6"/>
  <c r="J14" i="6"/>
  <c r="F9" i="6"/>
  <c r="D23" i="6"/>
  <c r="J23" i="6"/>
  <c r="M11" i="6"/>
  <c r="I23" i="6"/>
  <c r="M25" i="6"/>
  <c r="M31" i="6" s="1"/>
  <c r="M36" i="6" s="1"/>
  <c r="E9" i="6"/>
  <c r="E14" i="6"/>
  <c r="C20" i="6"/>
  <c r="I16" i="6"/>
  <c r="I17" i="6" s="1"/>
  <c r="J9" i="6"/>
  <c r="F11" i="6"/>
  <c r="F16" i="6" s="1"/>
  <c r="H14" i="6"/>
  <c r="C23" i="6"/>
  <c r="E20" i="6"/>
  <c r="D9" i="6"/>
  <c r="D20" i="6"/>
  <c r="C9" i="6"/>
  <c r="I9" i="6"/>
  <c r="E11" i="6"/>
  <c r="E16" i="6" s="1"/>
  <c r="I20" i="6"/>
  <c r="D6" i="6"/>
  <c r="M9" i="6"/>
  <c r="L11" i="6"/>
  <c r="L16" i="6" s="1"/>
  <c r="L17" i="6" s="1"/>
  <c r="K11" i="6"/>
  <c r="K16" i="6" s="1"/>
  <c r="K25" i="6" s="1"/>
  <c r="K29" i="6" s="1"/>
  <c r="C11" i="6"/>
  <c r="C16" i="6" s="1"/>
  <c r="C17" i="6" s="1"/>
  <c r="G6" i="6"/>
  <c r="H9" i="6"/>
  <c r="D11" i="6"/>
  <c r="D16" i="6" s="1"/>
  <c r="D17" i="6" s="1"/>
  <c r="F14" i="6"/>
  <c r="H20" i="6"/>
  <c r="K23" i="6"/>
  <c r="I25" i="6"/>
  <c r="K9" i="6"/>
  <c r="J20" i="6"/>
  <c r="I6" i="6"/>
  <c r="I14" i="6"/>
  <c r="K6" i="6"/>
  <c r="L20" i="6"/>
  <c r="J11" i="6"/>
  <c r="J16" i="6" s="1"/>
  <c r="H11" i="6"/>
  <c r="H16" i="6" s="1"/>
  <c r="K14" i="6"/>
  <c r="L9" i="6"/>
  <c r="G11" i="6"/>
  <c r="G16" i="6" s="1"/>
  <c r="M6" i="6"/>
  <c r="G5" i="15" l="1"/>
  <c r="F9" i="15"/>
  <c r="F13" i="15" s="1"/>
  <c r="F18" i="15" s="1"/>
  <c r="E34" i="9"/>
  <c r="E32" i="9"/>
  <c r="F32" i="9" s="1"/>
  <c r="F31" i="9" s="1"/>
  <c r="K63" i="6"/>
  <c r="K65" i="6" s="1"/>
  <c r="D63" i="6"/>
  <c r="D65" i="6" s="1"/>
  <c r="M29" i="6"/>
  <c r="K17" i="6"/>
  <c r="L25" i="6"/>
  <c r="L29" i="6" s="1"/>
  <c r="D25" i="6"/>
  <c r="D29" i="6" s="1"/>
  <c r="M42" i="6"/>
  <c r="M40" i="6"/>
  <c r="M26" i="6"/>
  <c r="C25" i="6"/>
  <c r="C26" i="6" s="1"/>
  <c r="M32" i="6"/>
  <c r="H25" i="6"/>
  <c r="H17" i="6"/>
  <c r="I26" i="6"/>
  <c r="I31" i="6"/>
  <c r="I29" i="6"/>
  <c r="E17" i="6"/>
  <c r="E25" i="6"/>
  <c r="L31" i="6"/>
  <c r="L26" i="6"/>
  <c r="G25" i="6"/>
  <c r="G17" i="6"/>
  <c r="F17" i="6"/>
  <c r="F25" i="6"/>
  <c r="J25" i="6"/>
  <c r="J17" i="6"/>
  <c r="K31" i="6"/>
  <c r="K26" i="6"/>
  <c r="D31" i="6"/>
  <c r="D26" i="6"/>
  <c r="H5" i="15" l="1"/>
  <c r="G9" i="15"/>
  <c r="G13" i="15" s="1"/>
  <c r="G18" i="15" s="1"/>
  <c r="F34" i="9"/>
  <c r="L30" i="9" s="1"/>
  <c r="K38" i="9" s="1"/>
  <c r="L38" i="9"/>
  <c r="C29" i="6"/>
  <c r="C31" i="6"/>
  <c r="E26" i="6"/>
  <c r="E31" i="6"/>
  <c r="E29" i="6"/>
  <c r="I36" i="6"/>
  <c r="I32" i="6"/>
  <c r="J26" i="6"/>
  <c r="J31" i="6"/>
  <c r="J29" i="6"/>
  <c r="L32" i="6"/>
  <c r="L36" i="6"/>
  <c r="K36" i="6"/>
  <c r="K32" i="6"/>
  <c r="F31" i="6"/>
  <c r="F29" i="6"/>
  <c r="F26" i="6"/>
  <c r="H26" i="6"/>
  <c r="H31" i="6"/>
  <c r="H29" i="6"/>
  <c r="G31" i="6"/>
  <c r="G26" i="6"/>
  <c r="G29" i="6"/>
  <c r="C36" i="6"/>
  <c r="C32" i="6"/>
  <c r="D36" i="6"/>
  <c r="D32" i="6"/>
  <c r="H9" i="15" l="1"/>
  <c r="H13" i="15" s="1"/>
  <c r="H18" i="15" s="1"/>
  <c r="I5" i="15"/>
  <c r="I9" i="15" s="1"/>
  <c r="I13" i="15" s="1"/>
  <c r="L39" i="9"/>
  <c r="D37" i="6"/>
  <c r="D40" i="6"/>
  <c r="D42" i="6" s="1"/>
  <c r="C40" i="6"/>
  <c r="C42" i="6" s="1"/>
  <c r="L42" i="6"/>
  <c r="L37" i="6"/>
  <c r="L40" i="6"/>
  <c r="M37" i="6"/>
  <c r="I42" i="6"/>
  <c r="I40" i="6"/>
  <c r="K42" i="6"/>
  <c r="K40" i="6"/>
  <c r="J36" i="6"/>
  <c r="K37" i="6" s="1"/>
  <c r="J32" i="6"/>
  <c r="G32" i="6"/>
  <c r="G36" i="6"/>
  <c r="H36" i="6"/>
  <c r="H32" i="6"/>
  <c r="F36" i="6"/>
  <c r="F32" i="6"/>
  <c r="E32" i="6"/>
  <c r="E36" i="6"/>
  <c r="I18" i="15" l="1"/>
  <c r="C37" i="15" s="1"/>
  <c r="C28" i="15"/>
  <c r="C32" i="15" s="1"/>
  <c r="C38" i="15" s="1"/>
  <c r="G37" i="6"/>
  <c r="G40" i="6"/>
  <c r="G42" i="6" s="1"/>
  <c r="H37" i="6"/>
  <c r="H40" i="6"/>
  <c r="H42" i="6" s="1"/>
  <c r="F37" i="6"/>
  <c r="F40" i="6"/>
  <c r="F42" i="6" s="1"/>
  <c r="I37" i="6"/>
  <c r="J37" i="6"/>
  <c r="J40" i="6"/>
  <c r="J42" i="6"/>
  <c r="E37" i="6"/>
  <c r="E40" i="6"/>
  <c r="E42" i="6" s="1"/>
  <c r="C39" i="15" l="1"/>
  <c r="C43" i="15" s="1"/>
  <c r="C45" i="15" s="1"/>
  <c r="C49" i="15" s="1"/>
</calcChain>
</file>

<file path=xl/sharedStrings.xml><?xml version="1.0" encoding="utf-8"?>
<sst xmlns="http://schemas.openxmlformats.org/spreadsheetml/2006/main" count="435" uniqueCount="295">
  <si>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</si>
  <si>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</si>
  <si>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</si>
  <si>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</si>
  <si>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</si>
  <si>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</si>
  <si>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</si>
  <si>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</si>
  <si>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</si>
  <si>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</si>
  <si>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</si>
  <si>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</si>
  <si>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</si>
  <si>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</si>
  <si>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</si>
  <si>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</si>
  <si>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</si>
  <si>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</si>
  <si>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</si>
  <si>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</si>
  <si>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</si>
  <si>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</si>
  <si>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</si>
  <si>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</si>
  <si>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</si>
  <si>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</si>
  <si>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</si>
  <si>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</si>
  <si>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</si>
  <si>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</si>
  <si>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</si>
  <si>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</si>
  <si>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</si>
  <si>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</si>
  <si>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</si>
  <si>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</si>
  <si>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</si>
  <si>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</si>
  <si>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</si>
  <si>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</si>
  <si>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</si>
  <si>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</si>
  <si>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</si>
  <si>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</si>
  <si>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</si>
  <si>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</si>
  <si>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</si>
  <si>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</si>
  <si>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</si>
  <si>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</si>
  <si>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</si>
  <si>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</si>
  <si>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</si>
  <si>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</si>
  <si>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</si>
  <si>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</si>
  <si>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</si>
  <si>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</si>
  <si>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</si>
  <si>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</si>
  <si>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</si>
  <si>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</si>
  <si>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</si>
  <si>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</si>
  <si>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</si>
  <si>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Interest % Sales</t>
  </si>
  <si>
    <t>Net Profit</t>
  </si>
  <si>
    <t>EPS Growth %</t>
  </si>
  <si>
    <t>Dividend payout ratio</t>
  </si>
  <si>
    <t>Retained Earnings</t>
  </si>
  <si>
    <t>Balance Sheet</t>
  </si>
  <si>
    <t>Total Liabilities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</si>
  <si>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</si>
  <si>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</si>
  <si>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</si>
  <si>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</si>
  <si>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</si>
  <si>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</si>
  <si>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</si>
  <si>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</si>
  <si>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</si>
  <si>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</si>
  <si>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</si>
  <si>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</si>
  <si>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</si>
  <si>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</si>
  <si>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</si>
  <si>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</si>
  <si>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</si>
  <si>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</si>
  <si>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</si>
  <si>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</si>
  <si>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</si>
  <si>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</si>
  <si>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</si>
  <si>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</si>
  <si>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</si>
  <si>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</si>
  <si>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</si>
  <si>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</si>
  <si>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</si>
  <si>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</si>
  <si>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</si>
  <si>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Cash Flow Statements</t>
  </si>
  <si>
    <t>Investing Activities</t>
  </si>
  <si>
    <t>Cash from Investing Activities</t>
  </si>
  <si>
    <t>Financing Activities</t>
  </si>
  <si>
    <t>Cash from Financing Activities</t>
  </si>
  <si>
    <t xml:space="preserve"> </t>
  </si>
  <si>
    <t>Selling and General expenses</t>
  </si>
  <si>
    <t>S&amp;G Expenses % Sales</t>
  </si>
  <si>
    <t>EBITDA % Sales</t>
  </si>
  <si>
    <t>Depreciation % Sales</t>
  </si>
  <si>
    <t>EBT</t>
  </si>
  <si>
    <t>EBT % sales</t>
  </si>
  <si>
    <t>Taxes</t>
  </si>
  <si>
    <t xml:space="preserve"> Effective Tax rate</t>
  </si>
  <si>
    <t xml:space="preserve"> Net Profit % Sales</t>
  </si>
  <si>
    <t>No of Equity shares</t>
  </si>
  <si>
    <t>EPS</t>
  </si>
  <si>
    <t>Dividends per Share</t>
  </si>
  <si>
    <t>Total assests Net Block</t>
  </si>
  <si>
    <t>Total non Current Assets</t>
  </si>
  <si>
    <t>Total Current Assests</t>
  </si>
  <si>
    <t>Total Assests</t>
  </si>
  <si>
    <r>
      <rPr>
        <b/>
        <sz val="11"/>
        <color theme="1"/>
        <rFont val="calibri"/>
        <family val="2"/>
      </rPr>
      <t xml:space="preserve"> Operating Activity</t>
    </r>
    <r>
      <rPr>
        <sz val="11"/>
        <color theme="1"/>
        <rFont val="calibri"/>
        <family val="2"/>
      </rPr>
      <t xml:space="preserve"> </t>
    </r>
  </si>
  <si>
    <t>Cash From Operating Activities</t>
  </si>
  <si>
    <t xml:space="preserve">EBITDA Growth </t>
  </si>
  <si>
    <t>Net Profit Growth</t>
  </si>
  <si>
    <t>Dividened Growth</t>
  </si>
  <si>
    <t>Gross Margin</t>
  </si>
  <si>
    <t>EBITDA Margin</t>
  </si>
  <si>
    <t>EBIT Margin</t>
  </si>
  <si>
    <t>EBT Margin</t>
  </si>
  <si>
    <t>Net Profit Margin</t>
  </si>
  <si>
    <t>SalesExpenses % Sales</t>
  </si>
  <si>
    <t>OperatingIncome % Sales</t>
  </si>
  <si>
    <t>Return on Capital Employed</t>
  </si>
  <si>
    <t>Retained Earnings %</t>
  </si>
  <si>
    <t>Return on Equity %</t>
  </si>
  <si>
    <t>Self Sustained Growth rate</t>
  </si>
  <si>
    <t>Interest coverage ratio</t>
  </si>
  <si>
    <t>Debt Turnover ratio</t>
  </si>
  <si>
    <t>Credit Turnover ratio</t>
  </si>
  <si>
    <t>Inventory Turnover</t>
  </si>
  <si>
    <t>Fixed Assest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</si>
  <si>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</si>
  <si>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</si>
  <si>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</si>
  <si>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</si>
  <si>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</si>
  <si>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</si>
  <si>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Debt</t>
  </si>
  <si>
    <t>CFO/Total Assests</t>
  </si>
  <si>
    <t>EBT Growth</t>
  </si>
  <si>
    <t>Weighted Average Cost of Capital</t>
  </si>
  <si>
    <t>All figures are in INR unless specified</t>
  </si>
  <si>
    <t>Peer Comps</t>
  </si>
  <si>
    <t>Name of Company</t>
  </si>
  <si>
    <t>Country</t>
  </si>
  <si>
    <t>Total Debt</t>
  </si>
  <si>
    <t>Total Equity</t>
  </si>
  <si>
    <t>Tax Rate</t>
  </si>
  <si>
    <t>Debt/</t>
  </si>
  <si>
    <t>Equity</t>
  </si>
  <si>
    <t xml:space="preserve">Debt / </t>
  </si>
  <si>
    <t>Capital</t>
  </si>
  <si>
    <t>Levered</t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</si>
  <si>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</si>
  <si>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</si>
  <si>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 xml:space="preserve">3 </t>
    </r>
  </si>
  <si>
    <t>Cummins India</t>
  </si>
  <si>
    <t>Hitachi Energy</t>
  </si>
  <si>
    <t>CG Power &amp; Ind</t>
  </si>
  <si>
    <t>A B B</t>
  </si>
  <si>
    <t>Polycab India</t>
  </si>
  <si>
    <t>Debt</t>
  </si>
  <si>
    <t>d/e</t>
  </si>
  <si>
    <t>e</t>
  </si>
  <si>
    <t>India</t>
  </si>
  <si>
    <t>Average</t>
  </si>
  <si>
    <t>Median</t>
  </si>
  <si>
    <t>Cost of Debt</t>
  </si>
  <si>
    <t>Pre-tax Cost of Debt</t>
  </si>
  <si>
    <t>Post-tax Cost of Debt</t>
  </si>
  <si>
    <t>Cost of Equity</t>
  </si>
  <si>
    <t>Risk free Rate</t>
  </si>
  <si>
    <t>Equity risk premium</t>
  </si>
  <si>
    <t>Levered Beta</t>
  </si>
  <si>
    <t>Capital Structure</t>
  </si>
  <si>
    <t xml:space="preserve">Current </t>
  </si>
  <si>
    <t>Target</t>
  </si>
  <si>
    <t>Total Capital</t>
  </si>
  <si>
    <t>Comps Median Unlevered Beta</t>
  </si>
  <si>
    <t>Target Debt / Equity</t>
  </si>
  <si>
    <t>Debt / Equity</t>
  </si>
  <si>
    <t>Total Cost</t>
  </si>
  <si>
    <t>Total Weight</t>
  </si>
  <si>
    <t>1. Tax Rate considered as Marginal Tax Rate for the country</t>
  </si>
  <si>
    <t>3. Unlevered Beta = Levered Beta/(1+(1-Tax Rate) x Debt/Equity)</t>
  </si>
  <si>
    <t>4. Levered Beta = Unlevered Beta*(1+(1-Tax Rate) x Debt/Equity)</t>
  </si>
  <si>
    <t>S.No.</t>
  </si>
  <si>
    <t>Name</t>
  </si>
  <si>
    <t>Debt Rs.Cr.</t>
  </si>
  <si>
    <t>Debt / Eq</t>
  </si>
  <si>
    <t xml:space="preserve">Mar Cap Rs.Cr. </t>
  </si>
  <si>
    <t>2. Levered Beta is based on 2 year weekly data</t>
  </si>
  <si>
    <t>Tata Motors</t>
  </si>
  <si>
    <t>Return on Market</t>
  </si>
  <si>
    <t>Year</t>
  </si>
  <si>
    <t>Annual</t>
  </si>
  <si>
    <t>Average Return on Market</t>
  </si>
  <si>
    <t>Dividend yield</t>
  </si>
  <si>
    <t>Total Reurn on Market</t>
  </si>
  <si>
    <t>(Used Nifty 50 return table from primeinvestor.in)</t>
  </si>
  <si>
    <r>
      <t xml:space="preserve">1.30% </t>
    </r>
    <r>
      <rPr>
        <vertAlign val="superscript"/>
        <sz val="11"/>
        <color theme="1"/>
        <rFont val="Calibri"/>
        <family val="2"/>
      </rPr>
      <t>1</t>
    </r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</si>
  <si>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</si>
  <si>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</si>
  <si>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</si>
  <si>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</si>
  <si>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</si>
  <si>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</si>
  <si>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</si>
  <si>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</si>
  <si>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</si>
  <si>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</si>
  <si>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</si>
  <si>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</si>
  <si>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</si>
  <si>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</si>
  <si>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</si>
  <si>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</si>
  <si>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</si>
  <si>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</si>
  <si>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</si>
  <si>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</si>
  <si>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</si>
  <si>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</si>
  <si>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</si>
  <si>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</si>
  <si>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</si>
  <si>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</si>
  <si>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</si>
  <si>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</si>
  <si>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</si>
  <si>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</si>
  <si>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Total Assets</t>
  </si>
  <si>
    <t>Particulars</t>
  </si>
  <si>
    <t>Calculation of ROIC</t>
  </si>
  <si>
    <t>Current Assests</t>
  </si>
  <si>
    <t>Total Current assest</t>
  </si>
  <si>
    <t>Current Liabilities</t>
  </si>
  <si>
    <t>Total Current Liabilites</t>
  </si>
  <si>
    <t>Net Working Capital</t>
  </si>
  <si>
    <t>Non Current Assets</t>
  </si>
  <si>
    <t>Net Non Current Assets</t>
  </si>
  <si>
    <t>Invested capital</t>
  </si>
  <si>
    <t>EBIT</t>
  </si>
  <si>
    <t>ROIC</t>
  </si>
  <si>
    <t>Net Captial Expenditure</t>
  </si>
  <si>
    <t>Change in Working Capital</t>
  </si>
  <si>
    <t>Calculation of Reinvestment Rate</t>
  </si>
  <si>
    <t>Marginal Tax Rate</t>
  </si>
  <si>
    <t>EBIT(1-T)</t>
  </si>
  <si>
    <t>Reinvestment</t>
  </si>
  <si>
    <t>Reinvestment Rate</t>
  </si>
  <si>
    <t>4-year Average</t>
  </si>
  <si>
    <t>4-year Median</t>
  </si>
  <si>
    <t>Calculation of Growth rate</t>
  </si>
  <si>
    <t>Reinvestment rate</t>
  </si>
  <si>
    <t>Intrinsic Growth Rate</t>
  </si>
  <si>
    <t>Calculation of  PV of FCFF</t>
  </si>
  <si>
    <t>Tax rate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</si>
  <si>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</si>
  <si>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</si>
  <si>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</si>
  <si>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</si>
  <si>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</si>
  <si>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</si>
  <si>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</si>
  <si>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WACC</t>
  </si>
  <si>
    <t>Calculation of  Terminal Value</t>
  </si>
  <si>
    <t>FCFF(n+1)</t>
  </si>
  <si>
    <t>Terminal Growth Rate</t>
  </si>
  <si>
    <t>Terminal Value</t>
  </si>
  <si>
    <t>Calculation of  Equity Value</t>
  </si>
  <si>
    <t>PV of Terminal value</t>
  </si>
  <si>
    <t>Value of Operating Assests(EV)</t>
  </si>
  <si>
    <t>Add:Cash</t>
  </si>
  <si>
    <t>Less:Debt</t>
  </si>
  <si>
    <t>Equity Value</t>
  </si>
  <si>
    <t>No of shares</t>
  </si>
  <si>
    <t>Equity value per share</t>
  </si>
  <si>
    <t>Share price</t>
  </si>
  <si>
    <t>Discount/Premium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</si>
</sst>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₹&quot;#,##0.00_);\(&quot;₹&quot;#,##0.00\)"/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&quot;₹&quot;#,##0.0;\(&quot;₹&quot;#,##0.0\);\-"/>
    <numFmt numFmtId="167" formatCode="#,##0_);\(#,##0\);\-"/>
    <numFmt numFmtId="168" formatCode="mmm\-yy&quot;A&quot;"/>
    <numFmt numFmtId="169" formatCode="mmm\-yy&quot;F&quot;"/>
    <numFmt numFmtId="170" formatCode="0.00&quot;x&quot;"/>
  </numFmts>
  <fonts count="2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0" tint="-0.499984740745262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4" tint="-0.499984740745262"/>
      <name val="calibri"/>
      <family val="2"/>
    </font>
    <font>
      <b/>
      <sz val="14"/>
      <color theme="0"/>
      <name val="calibri"/>
      <family val="2"/>
    </font>
    <font>
      <vertAlign val="superscript"/>
      <sz val="11"/>
      <color theme="1"/>
      <name val="Calibri"/>
      <family val="2"/>
    </font>
    <font>
      <sz val="11"/>
      <color rgb="FF22222F"/>
      <name val="Arial"/>
      <family val="2"/>
    </font>
    <font>
      <sz val="11"/>
      <color rgb="FF0070C0"/>
      <name val="calibri"/>
      <family val="2"/>
    </font>
    <font>
      <b/>
      <sz val="11"/>
      <color rgb="FF000000"/>
      <name val="calibri"/>
      <family val="2"/>
    </font>
    <font>
      <i/>
      <sz val="9"/>
      <color theme="1"/>
      <name val="Calibri"/>
      <family val="2"/>
    </font>
    <font>
      <sz val="11"/>
      <color theme="4" tint="-0.249977111117893"/>
      <name val="calibri"/>
      <family val="2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0" fillId="0" borderId="0"/>
    <xf numFmtId="9" fontId="13" fillId="0" borderId="0" applyFont="0" applyFill="0" applyBorder="0" applyAlignment="0" applyProtection="0"/>
  </cellStyleXfs>
  <cellXfs count="94">
    <xf numFmtId="0" fontId="0" fillId="0" borderId="0" xfId="0"/>
    <xf numFmtId="164" fontId="4" fillId="0" borderId="0" xfId="1" applyFont="1" applyBorder="1"/>
    <xf numFmtId="164" fontId="6" fillId="0" borderId="0" xfId="1" applyFont="1" applyBorder="1"/>
    <xf numFmtId="0" fontId="6" fillId="0" borderId="0" xfId="4" applyFont="1"/>
    <xf numFmtId="165" fontId="8" fillId="3" borderId="0" xfId="1" applyNumberFormat="1" applyFont="1" applyFill="1" applyBorder="1"/>
    <xf numFmtId="165" fontId="8" fillId="3" borderId="0" xfId="4" applyNumberFormat="1" applyFont="1" applyFill="1" applyAlignment="1">
      <alignment horizontal="center"/>
    </xf>
    <xf numFmtId="165" fontId="9" fillId="0" borderId="0" xfId="1" applyNumberFormat="1" applyFont="1" applyFill="1" applyBorder="1"/>
    <xf numFmtId="0" fontId="3" fillId="0" borderId="0" xfId="4"/>
    <xf numFmtId="9" fontId="6" fillId="0" borderId="0" xfId="5" applyFont="1" applyBorder="1"/>
    <xf numFmtId="0" fontId="10" fillId="0" borderId="0" xfId="6"/>
    <xf numFmtId="43" fontId="6" fillId="0" borderId="0" xfId="1" applyNumberFormat="1" applyFont="1" applyBorder="1"/>
    <xf numFmtId="17" fontId="0" fillId="0" borderId="0" xfId="0" applyNumberFormat="1"/>
    <xf numFmtId="0" fontId="1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0" fontId="12" fillId="4" borderId="0" xfId="0" applyFont="1" applyFill="1"/>
    <xf numFmtId="17" fontId="12" fillId="4" borderId="0" xfId="0" applyNumberFormat="1" applyFont="1" applyFill="1"/>
    <xf numFmtId="0" fontId="12" fillId="4" borderId="0" xfId="0" applyFont="1" applyFill="1" applyAlignment="1">
      <alignment horizontal="right"/>
    </xf>
    <xf numFmtId="166" fontId="0" fillId="0" borderId="0" xfId="0" applyNumberFormat="1"/>
    <xf numFmtId="10" fontId="0" fillId="0" borderId="0" xfId="0" applyNumberFormat="1"/>
    <xf numFmtId="10" fontId="11" fillId="0" borderId="0" xfId="0" applyNumberFormat="1" applyFont="1"/>
    <xf numFmtId="7" fontId="0" fillId="0" borderId="0" xfId="0" applyNumberFormat="1"/>
    <xf numFmtId="10" fontId="11" fillId="0" borderId="0" xfId="0" applyNumberFormat="1" applyFont="1" applyAlignment="1">
      <alignment horizontal="right"/>
    </xf>
    <xf numFmtId="0" fontId="0" fillId="5" borderId="0" xfId="0" applyFill="1"/>
    <xf numFmtId="0" fontId="1" fillId="5" borderId="0" xfId="0" applyFont="1" applyFill="1"/>
    <xf numFmtId="7" fontId="1" fillId="0" borderId="0" xfId="0" applyNumberFormat="1" applyFont="1"/>
    <xf numFmtId="166" fontId="1" fillId="0" borderId="0" xfId="0" applyNumberFormat="1" applyFont="1"/>
    <xf numFmtId="10" fontId="0" fillId="0" borderId="0" xfId="7" applyNumberFormat="1" applyFont="1"/>
    <xf numFmtId="2" fontId="0" fillId="0" borderId="0" xfId="0" applyNumberFormat="1"/>
    <xf numFmtId="1" fontId="0" fillId="0" borderId="0" xfId="0" applyNumberFormat="1"/>
    <xf numFmtId="0" fontId="14" fillId="0" borderId="0" xfId="0" applyFont="1"/>
    <xf numFmtId="0" fontId="15" fillId="6" borderId="0" xfId="0" applyFont="1" applyFill="1"/>
    <xf numFmtId="0" fontId="12" fillId="6" borderId="0" xfId="0" applyFont="1" applyFill="1"/>
    <xf numFmtId="0" fontId="0" fillId="0" borderId="1" xfId="0" applyBorder="1"/>
    <xf numFmtId="0" fontId="0" fillId="0" borderId="2" xfId="0" applyBorder="1"/>
    <xf numFmtId="0" fontId="17" fillId="0" borderId="0" xfId="0" applyFont="1"/>
    <xf numFmtId="0" fontId="18" fillId="0" borderId="0" xfId="0" applyFont="1"/>
    <xf numFmtId="10" fontId="18" fillId="0" borderId="0" xfId="7" applyNumberFormat="1" applyFont="1"/>
    <xf numFmtId="0" fontId="1" fillId="0" borderId="2" xfId="0" applyFont="1" applyBorder="1"/>
    <xf numFmtId="0" fontId="1" fillId="7" borderId="1" xfId="0" applyFont="1" applyFill="1" applyBorder="1"/>
    <xf numFmtId="10" fontId="0" fillId="7" borderId="1" xfId="0" applyNumberFormat="1" applyFill="1" applyBorder="1"/>
    <xf numFmtId="2" fontId="0" fillId="7" borderId="1" xfId="0" applyNumberFormat="1" applyFill="1" applyBorder="1"/>
    <xf numFmtId="0" fontId="1" fillId="7" borderId="2" xfId="0" applyFont="1" applyFill="1" applyBorder="1"/>
    <xf numFmtId="10" fontId="0" fillId="7" borderId="2" xfId="0" applyNumberFormat="1" applyFill="1" applyBorder="1"/>
    <xf numFmtId="2" fontId="0" fillId="7" borderId="2" xfId="0" applyNumberFormat="1" applyFill="1" applyBorder="1"/>
    <xf numFmtId="9" fontId="0" fillId="0" borderId="0" xfId="0" applyNumberFormat="1"/>
    <xf numFmtId="0" fontId="0" fillId="0" borderId="3" xfId="0" applyBorder="1"/>
    <xf numFmtId="10" fontId="0" fillId="0" borderId="3" xfId="0" applyNumberFormat="1" applyBorder="1"/>
    <xf numFmtId="0" fontId="19" fillId="0" borderId="0" xfId="0" applyFont="1"/>
    <xf numFmtId="10" fontId="0" fillId="0" borderId="3" xfId="7" applyNumberFormat="1" applyFont="1" applyBorder="1"/>
    <xf numFmtId="10" fontId="18" fillId="0" borderId="0" xfId="0" applyNumberFormat="1" applyFont="1"/>
    <xf numFmtId="0" fontId="1" fillId="0" borderId="2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3" xfId="0" applyFont="1" applyBorder="1"/>
    <xf numFmtId="10" fontId="1" fillId="0" borderId="3" xfId="7" applyNumberFormat="1" applyFont="1" applyBorder="1"/>
    <xf numFmtId="10" fontId="1" fillId="0" borderId="3" xfId="0" applyNumberFormat="1" applyFont="1" applyBorder="1"/>
    <xf numFmtId="2" fontId="18" fillId="0" borderId="0" xfId="0" applyNumberFormat="1" applyFont="1" applyAlignment="1">
      <alignment horizontal="right" vertical="center"/>
    </xf>
    <xf numFmtId="0" fontId="20" fillId="0" borderId="0" xfId="0" applyFont="1"/>
    <xf numFmtId="0" fontId="0" fillId="0" borderId="0" xfId="0" applyAlignment="1">
      <alignment horizontal="left"/>
    </xf>
    <xf numFmtId="10" fontId="0" fillId="0" borderId="0" xfId="7" applyNumberFormat="1" applyFont="1" applyAlignment="1">
      <alignment horizontal="right"/>
    </xf>
    <xf numFmtId="10" fontId="1" fillId="0" borderId="0" xfId="0" applyNumberFormat="1" applyFont="1"/>
    <xf numFmtId="10" fontId="0" fillId="0" borderId="0" xfId="0" applyNumberFormat="1" applyAlignment="1">
      <alignment horizontal="right"/>
    </xf>
    <xf numFmtId="2" fontId="1" fillId="0" borderId="3" xfId="0" applyNumberFormat="1" applyFont="1" applyBorder="1"/>
    <xf numFmtId="10" fontId="21" fillId="0" borderId="0" xfId="0" applyNumberFormat="1" applyFont="1"/>
    <xf numFmtId="0" fontId="21" fillId="0" borderId="0" xfId="0" applyFont="1"/>
    <xf numFmtId="0" fontId="12" fillId="8" borderId="0" xfId="0" applyFont="1" applyFill="1"/>
    <xf numFmtId="17" fontId="12" fillId="8" borderId="0" xfId="0" applyNumberFormat="1" applyFont="1" applyFill="1"/>
    <xf numFmtId="3" fontId="1" fillId="0" borderId="0" xfId="0" applyNumberFormat="1" applyFont="1"/>
    <xf numFmtId="0" fontId="22" fillId="4" borderId="0" xfId="0" applyFont="1" applyFill="1"/>
    <xf numFmtId="0" fontId="1" fillId="0" borderId="5" xfId="0" applyFont="1" applyBorder="1"/>
    <xf numFmtId="0" fontId="1" fillId="0" borderId="6" xfId="0" applyFont="1" applyBorder="1"/>
    <xf numFmtId="2" fontId="1" fillId="0" borderId="0" xfId="0" applyNumberFormat="1" applyFont="1"/>
    <xf numFmtId="167" fontId="0" fillId="0" borderId="0" xfId="0" applyNumberFormat="1"/>
    <xf numFmtId="167" fontId="1" fillId="0" borderId="3" xfId="0" applyNumberFormat="1" applyFont="1" applyBorder="1"/>
    <xf numFmtId="167" fontId="1" fillId="0" borderId="5" xfId="0" applyNumberFormat="1" applyFont="1" applyBorder="1"/>
    <xf numFmtId="167" fontId="1" fillId="0" borderId="6" xfId="0" applyNumberFormat="1" applyFont="1" applyBorder="1"/>
    <xf numFmtId="167" fontId="1" fillId="0" borderId="0" xfId="0" applyNumberFormat="1" applyFont="1"/>
    <xf numFmtId="168" fontId="12" fillId="4" borderId="0" xfId="0" applyNumberFormat="1" applyFont="1" applyFill="1"/>
    <xf numFmtId="169" fontId="12" fillId="4" borderId="0" xfId="0" applyNumberFormat="1" applyFont="1" applyFill="1"/>
    <xf numFmtId="0" fontId="1" fillId="0" borderId="7" xfId="0" applyFont="1" applyBorder="1"/>
    <xf numFmtId="2" fontId="1" fillId="0" borderId="7" xfId="0" applyNumberFormat="1" applyFont="1" applyBorder="1"/>
    <xf numFmtId="0" fontId="0" fillId="0" borderId="8" xfId="0" applyBorder="1"/>
    <xf numFmtId="4" fontId="0" fillId="0" borderId="0" xfId="0" applyNumberFormat="1"/>
    <xf numFmtId="0" fontId="1" fillId="0" borderId="8" xfId="0" applyFont="1" applyBorder="1"/>
    <xf numFmtId="2" fontId="1" fillId="0" borderId="8" xfId="0" applyNumberFormat="1" applyFont="1" applyBorder="1"/>
    <xf numFmtId="170" fontId="0" fillId="0" borderId="0" xfId="0" applyNumberFormat="1"/>
    <xf numFmtId="0" fontId="0" fillId="8" borderId="0" xfId="0" applyFill="1"/>
    <xf numFmtId="0" fontId="12" fillId="4" borderId="0" xfId="0" applyFont="1" applyFill="1" applyAlignment="1">
      <alignment horizontal="center"/>
    </xf>
    <xf numFmtId="164" fontId="5" fillId="0" borderId="0" xfId="2" applyNumberFormat="1" applyFont="1" applyBorder="1" applyAlignment="1" applyProtection="1">
      <alignment horizontal="center"/>
    </xf>
    <xf numFmtId="164" fontId="8" fillId="2" borderId="0" xfId="3" applyNumberFormat="1" applyFont="1" applyBorder="1" applyAlignment="1">
      <alignment horizontal="center"/>
    </xf>
  </cellXfs>
  <cellStyles count="8">
    <cellStyle name="Accent6 2" xfId="3" xr:uid="{BBDB2BF0-232B-4C01-AC19-E13AE7790424}"/>
    <cellStyle name="Comma 2" xfId="1" xr:uid="{177753BF-8FC0-47C2-A09D-659D00B32ED6}"/>
    <cellStyle name="Hyperlink 2" xfId="2" xr:uid="{7C8B96FE-EF46-46CA-837F-CBE11AA9368D}"/>
    <cellStyle name="Normal" xfId="0" builtinId="0"/>
    <cellStyle name="Normal 2" xfId="6" xr:uid="{2080FAEF-89A5-4CB3-B948-0E63B4C07C78}"/>
    <cellStyle name="Normal 3" xfId="4" xr:uid="{D9D406C4-520E-4DB0-A06B-D346019C8727}"/>
    <cellStyle name="Per cent" xfId="7" builtinId="5"/>
    <cellStyle name="Percent 3" xfId="5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5FF0-3B2F-7045-AD8E-F10B52BDB3D9}">
  <sheetPr>
    <tabColor theme="4" tint="-0.499984740745262"/>
  </sheetPr>
  <dimension ref="A1"/>
  <sheetViews>
    <sheetView workbookViewId="0">
      <selection activeCell="B44" sqref="B44"/>
    </sheetView>
  </sheetViews>
  <sheetFormatPr baseColWidth="10" defaultRowHeight="15" x14ac:dyDescent="0.2"/>
  <sheetData>
    <row r="1" spans="1:1" x14ac:dyDescent="0.2">
      <c r="A1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4672-AEE2-ED41-874E-7A51B00DF0BD}">
  <dimension ref="B3:L39"/>
  <sheetViews>
    <sheetView showGridLines="0" tabSelected="1" topLeftCell="A5" zoomScale="115" zoomScaleNormal="115" workbookViewId="0">
      <selection activeCell="F24" sqref="F24"/>
    </sheetView>
  </sheetViews>
  <sheetFormatPr baseColWidth="10" defaultRowHeight="15" x14ac:dyDescent="0.2"/>
  <cols>
    <col min="1" max="1" width="2" customWidth="1"/>
    <col min="2" max="2" width="16.6640625" customWidth="1"/>
    <col min="3" max="3" width="11.33203125" customWidth="1"/>
    <col min="4" max="4" width="10.5" customWidth="1"/>
    <col min="5" max="5" width="9.33203125" customWidth="1"/>
    <col min="12" max="12" width="11.1640625" customWidth="1"/>
    <col min="13" max="13" width="11.6640625" bestFit="1" customWidth="1"/>
  </cols>
  <sheetData>
    <row r="3" spans="2:12" s="34" customFormat="1" ht="19" x14ac:dyDescent="0.25">
      <c r="B3" s="33" t="s">
        <v>155</v>
      </c>
      <c r="C3" s="33"/>
      <c r="D3" s="33"/>
    </row>
    <row r="5" spans="2:12" x14ac:dyDescent="0.2">
      <c r="B5" t="s">
        <v>156</v>
      </c>
    </row>
    <row r="7" spans="2:12" x14ac:dyDescent="0.2">
      <c r="B7" t="s">
        <v>157</v>
      </c>
    </row>
    <row r="8" spans="2:12" x14ac:dyDescent="0.2">
      <c r="B8" s="35"/>
      <c r="C8" s="35"/>
      <c r="D8" s="35"/>
      <c r="E8" s="35"/>
      <c r="F8" s="35"/>
      <c r="G8" s="35"/>
      <c r="H8" s="35"/>
      <c r="I8" s="54" t="s">
        <v>163</v>
      </c>
      <c r="J8" s="54" t="s">
        <v>165</v>
      </c>
      <c r="K8" s="54" t="s">
        <v>167</v>
      </c>
      <c r="L8" s="54" t="s">
        <v>168</v>
      </c>
    </row>
    <row r="9" spans="2:12" ht="17" x14ac:dyDescent="0.2">
      <c r="B9" s="36" t="s">
        <v>158</v>
      </c>
      <c r="C9" s="36"/>
      <c r="D9" s="36"/>
      <c r="E9" s="36" t="s">
        <v>159</v>
      </c>
      <c r="F9" s="36" t="s">
        <v>160</v>
      </c>
      <c r="G9" s="36" t="s">
        <v>161</v>
      </c>
      <c r="H9" s="55" t="s">
        <v>162</v>
      </c>
      <c r="I9" s="55" t="s">
        <v>164</v>
      </c>
      <c r="J9" s="55" t="s">
        <v>166</v>
      </c>
      <c r="K9" s="55" t="s">
        <v>169</v>
      </c>
      <c r="L9" s="55" t="s">
        <v>170</v>
      </c>
    </row>
    <row r="11" spans="2:12" x14ac:dyDescent="0.2">
      <c r="B11" t="s">
        <v>207</v>
      </c>
      <c r="E11" s="38" t="s">
        <v>179</v>
      </c>
      <c r="F11">
        <f>'Beta comp'!D11</f>
        <v>431.9</v>
      </c>
      <c r="G11">
        <f>'Beta comp'!F11</f>
        <v>159039.89000000001</v>
      </c>
      <c r="H11" s="39">
        <v>0.3</v>
      </c>
      <c r="I11" s="29">
        <f>F11/G11</f>
        <v>2.715670892378006E-3</v>
      </c>
      <c r="J11" s="29">
        <f>F11/(F11+G11)</f>
        <v>2.7083159974563525E-3</v>
      </c>
      <c r="K11" s="60">
        <v>1.03</v>
      </c>
      <c r="L11" s="30">
        <f>K11/(1+(1-H11))</f>
        <v>0.60588235294117654</v>
      </c>
    </row>
    <row r="12" spans="2:12" x14ac:dyDescent="0.2">
      <c r="B12" t="s">
        <v>172</v>
      </c>
      <c r="E12" s="38" t="s">
        <v>179</v>
      </c>
      <c r="F12">
        <f>'Beta comp'!D7</f>
        <v>86.1</v>
      </c>
      <c r="G12">
        <f>'Beta comp'!F7</f>
        <v>151390.04</v>
      </c>
      <c r="H12" s="39">
        <v>0.3</v>
      </c>
      <c r="I12" s="29">
        <f t="shared" ref="I12:I15" si="0">F12/G12</f>
        <v>5.6872962052193128E-4</v>
      </c>
      <c r="J12" s="29">
        <f t="shared" ref="J12:J15" si="1">F12/(F12+G12)</f>
        <v>5.6840635099362829E-4</v>
      </c>
      <c r="K12" s="60">
        <v>1.33</v>
      </c>
      <c r="L12" s="30">
        <f t="shared" ref="L12:L15" si="2">K12/(1+(1-H12))</f>
        <v>0.7823529411764707</v>
      </c>
    </row>
    <row r="13" spans="2:12" x14ac:dyDescent="0.2">
      <c r="B13" t="s">
        <v>173</v>
      </c>
      <c r="E13" s="38" t="s">
        <v>179</v>
      </c>
      <c r="F13">
        <f>'Beta comp'!D8</f>
        <v>118.39</v>
      </c>
      <c r="G13">
        <f>'Beta comp'!F8</f>
        <v>148378.79999999999</v>
      </c>
      <c r="H13" s="39">
        <v>0.3</v>
      </c>
      <c r="I13" s="29">
        <f t="shared" si="0"/>
        <v>7.9789026464697121E-4</v>
      </c>
      <c r="J13" s="29">
        <f t="shared" si="1"/>
        <v>7.972541433275606E-4</v>
      </c>
      <c r="K13" s="60">
        <v>1.24</v>
      </c>
      <c r="L13" s="30">
        <f t="shared" si="2"/>
        <v>0.72941176470588232</v>
      </c>
    </row>
    <row r="14" spans="2:12" x14ac:dyDescent="0.2">
      <c r="B14" t="s">
        <v>174</v>
      </c>
      <c r="E14" s="38" t="s">
        <v>179</v>
      </c>
      <c r="F14">
        <f>'Beta comp'!D9</f>
        <v>84.82</v>
      </c>
      <c r="G14">
        <f>'Beta comp'!F9</f>
        <v>148187.53</v>
      </c>
      <c r="H14" s="39">
        <v>0.3</v>
      </c>
      <c r="I14" s="29">
        <f t="shared" si="0"/>
        <v>5.7238284489929752E-4</v>
      </c>
      <c r="J14" s="29">
        <f t="shared" si="1"/>
        <v>5.7205541019616937E-4</v>
      </c>
      <c r="K14" s="60">
        <v>1.19</v>
      </c>
      <c r="L14" s="30">
        <f t="shared" si="2"/>
        <v>0.7</v>
      </c>
    </row>
    <row r="15" spans="2:12" x14ac:dyDescent="0.2">
      <c r="B15" t="s">
        <v>175</v>
      </c>
      <c r="E15" s="38" t="s">
        <v>179</v>
      </c>
      <c r="F15">
        <f>'Beta comp'!D10</f>
        <v>235.52</v>
      </c>
      <c r="G15">
        <f>'Beta comp'!F10</f>
        <v>143570.26999999999</v>
      </c>
      <c r="H15" s="39">
        <v>0.3</v>
      </c>
      <c r="I15" s="29">
        <f t="shared" si="0"/>
        <v>1.6404510488139364E-3</v>
      </c>
      <c r="J15" s="29">
        <f t="shared" si="1"/>
        <v>1.6377643765247564E-3</v>
      </c>
      <c r="K15" s="60">
        <v>1.4</v>
      </c>
      <c r="L15" s="30">
        <f t="shared" si="2"/>
        <v>0.82352941176470584</v>
      </c>
    </row>
    <row r="17" spans="2:12" x14ac:dyDescent="0.2">
      <c r="G17" s="41" t="s">
        <v>180</v>
      </c>
      <c r="H17" s="42">
        <f>AVERAGE(H11:H15)</f>
        <v>0.3</v>
      </c>
      <c r="I17" s="42">
        <f>AVERAGE(I11:I15)</f>
        <v>1.2590249342520287E-3</v>
      </c>
      <c r="J17" s="42">
        <f t="shared" ref="J17:L17" si="3">AVERAGE(J11:J15)</f>
        <v>1.2567592556996935E-3</v>
      </c>
      <c r="K17" s="43">
        <f t="shared" si="3"/>
        <v>1.2380000000000002</v>
      </c>
      <c r="L17" s="43">
        <f t="shared" si="3"/>
        <v>0.72823529411764698</v>
      </c>
    </row>
    <row r="18" spans="2:12" x14ac:dyDescent="0.2">
      <c r="G18" s="44" t="s">
        <v>181</v>
      </c>
      <c r="H18" s="45">
        <f>MEDIAN(H11:H15)</f>
        <v>0.3</v>
      </c>
      <c r="I18" s="45">
        <f>MEDIAN(I11:I15)</f>
        <v>7.9789026464697121E-4</v>
      </c>
      <c r="J18" s="45">
        <f t="shared" ref="J18:K18" si="4">MEDIAN(J11:J15)</f>
        <v>7.972541433275606E-4</v>
      </c>
      <c r="K18" s="46">
        <f t="shared" si="4"/>
        <v>1.24</v>
      </c>
      <c r="L18" s="46">
        <f>MEDIAN(L11:L15)</f>
        <v>0.72941176470588232</v>
      </c>
    </row>
    <row r="20" spans="2:12" x14ac:dyDescent="0.2">
      <c r="B20" s="50" t="s">
        <v>182</v>
      </c>
      <c r="C20" s="50"/>
      <c r="D20" s="50"/>
      <c r="E20" s="50"/>
      <c r="F20" s="50"/>
      <c r="H20" s="40" t="s">
        <v>185</v>
      </c>
      <c r="I20" s="36"/>
      <c r="J20" s="36"/>
      <c r="K20" s="36"/>
    </row>
    <row r="21" spans="2:12" x14ac:dyDescent="0.2">
      <c r="B21" s="35" t="s">
        <v>108</v>
      </c>
      <c r="C21" s="35"/>
      <c r="D21" s="35"/>
      <c r="E21" s="35"/>
      <c r="F21" s="35"/>
    </row>
    <row r="22" spans="2:12" x14ac:dyDescent="0.2">
      <c r="B22" t="s">
        <v>183</v>
      </c>
      <c r="F22" s="67">
        <f>874/5615</f>
        <v>0.15565449688334818</v>
      </c>
      <c r="H22" t="s">
        <v>186</v>
      </c>
      <c r="K22" s="52">
        <v>6.7699999999999996E-2</v>
      </c>
    </row>
    <row r="23" spans="2:12" x14ac:dyDescent="0.2">
      <c r="B23" t="s">
        <v>162</v>
      </c>
      <c r="F23" s="47">
        <f>H11</f>
        <v>0.3</v>
      </c>
      <c r="H23" t="s">
        <v>187</v>
      </c>
      <c r="K23" s="21">
        <f>Rm!G8-WACC!K22</f>
        <v>8.3792307692307708E-2</v>
      </c>
    </row>
    <row r="24" spans="2:12" x14ac:dyDescent="0.2">
      <c r="B24" s="57" t="s">
        <v>184</v>
      </c>
      <c r="C24" s="57"/>
      <c r="D24" s="57"/>
      <c r="E24" s="57"/>
      <c r="F24" s="59">
        <f>F22*(1-F23)</f>
        <v>0.10895814781834372</v>
      </c>
      <c r="H24" t="s">
        <v>188</v>
      </c>
      <c r="K24" s="30">
        <f>L32</f>
        <v>0.94795993956731406</v>
      </c>
    </row>
    <row r="25" spans="2:12" x14ac:dyDescent="0.2">
      <c r="H25" s="57" t="s">
        <v>185</v>
      </c>
      <c r="I25" s="57"/>
      <c r="J25" s="57"/>
      <c r="K25" s="59">
        <f>K22+K23*K24</f>
        <v>0.14713175093620579</v>
      </c>
    </row>
    <row r="27" spans="2:12" x14ac:dyDescent="0.2">
      <c r="B27" s="40" t="s">
        <v>189</v>
      </c>
      <c r="C27" s="40"/>
      <c r="D27" s="40"/>
      <c r="E27" s="40"/>
      <c r="F27" s="40"/>
      <c r="H27" s="40" t="s">
        <v>188</v>
      </c>
      <c r="I27" s="36"/>
      <c r="J27" s="36"/>
      <c r="K27" s="36"/>
      <c r="L27" s="36"/>
    </row>
    <row r="29" spans="2:12" x14ac:dyDescent="0.2">
      <c r="E29" s="53" t="s">
        <v>190</v>
      </c>
      <c r="F29" s="53" t="s">
        <v>191</v>
      </c>
      <c r="H29" t="s">
        <v>193</v>
      </c>
      <c r="L29" s="30">
        <f>L18</f>
        <v>0.72941176470588232</v>
      </c>
    </row>
    <row r="30" spans="2:12" x14ac:dyDescent="0.2">
      <c r="B30" t="s">
        <v>160</v>
      </c>
      <c r="D30" s="38">
        <f>F11</f>
        <v>431.9</v>
      </c>
      <c r="E30" s="29">
        <f>D30/D32</f>
        <v>2.7083159974563525E-3</v>
      </c>
      <c r="F30" s="52">
        <f>J17</f>
        <v>1.2567592556996935E-3</v>
      </c>
      <c r="H30" t="s">
        <v>194</v>
      </c>
      <c r="L30" s="21">
        <f>F34</f>
        <v>1.2583406870049104E-3</v>
      </c>
    </row>
    <row r="31" spans="2:12" x14ac:dyDescent="0.2">
      <c r="B31" t="s">
        <v>9</v>
      </c>
      <c r="D31" s="38">
        <f>G11</f>
        <v>159039.89000000001</v>
      </c>
      <c r="E31" s="29">
        <f>D31/D32</f>
        <v>0.99729168400254364</v>
      </c>
      <c r="F31" s="21">
        <f>F32-F30</f>
        <v>0.99874324074430032</v>
      </c>
      <c r="H31" t="s">
        <v>162</v>
      </c>
      <c r="L31" s="21">
        <f>H15</f>
        <v>0.3</v>
      </c>
    </row>
    <row r="32" spans="2:12" x14ac:dyDescent="0.2">
      <c r="B32" s="48" t="s">
        <v>192</v>
      </c>
      <c r="C32" s="48"/>
      <c r="D32" s="48">
        <f>SUM(D30:D31)</f>
        <v>159471.79</v>
      </c>
      <c r="E32" s="51">
        <f>SUM(E30:E31)</f>
        <v>1</v>
      </c>
      <c r="F32" s="49">
        <f>E32</f>
        <v>1</v>
      </c>
      <c r="H32" s="57" t="s">
        <v>188</v>
      </c>
      <c r="I32" s="57"/>
      <c r="J32" s="57"/>
      <c r="K32" s="57"/>
      <c r="L32" s="66">
        <f>L29*(1+(1-L30)*L31)</f>
        <v>0.94795993956731406</v>
      </c>
    </row>
    <row r="34" spans="2:12" x14ac:dyDescent="0.2">
      <c r="B34" t="s">
        <v>195</v>
      </c>
      <c r="E34" s="21">
        <f>E30/E31</f>
        <v>2.7156708923780064E-3</v>
      </c>
      <c r="F34" s="21">
        <f>F30/F31</f>
        <v>1.2583406870049104E-3</v>
      </c>
      <c r="H34" s="40" t="s">
        <v>155</v>
      </c>
      <c r="I34" s="36"/>
      <c r="J34" s="36"/>
      <c r="K34" s="36"/>
      <c r="L34" s="36"/>
    </row>
    <row r="36" spans="2:12" x14ac:dyDescent="0.2">
      <c r="B36" s="61" t="s">
        <v>198</v>
      </c>
      <c r="K36" s="56" t="s">
        <v>196</v>
      </c>
      <c r="L36" s="56" t="s">
        <v>197</v>
      </c>
    </row>
    <row r="37" spans="2:12" x14ac:dyDescent="0.2">
      <c r="B37" s="61" t="s">
        <v>206</v>
      </c>
      <c r="H37" t="s">
        <v>176</v>
      </c>
      <c r="K37" s="21">
        <f>F24</f>
        <v>0.10895814781834372</v>
      </c>
      <c r="L37" s="21">
        <f>F30</f>
        <v>1.2567592556996935E-3</v>
      </c>
    </row>
    <row r="38" spans="2:12" x14ac:dyDescent="0.2">
      <c r="B38" s="61" t="s">
        <v>199</v>
      </c>
      <c r="H38" t="s">
        <v>164</v>
      </c>
      <c r="K38" s="21">
        <f>K25</f>
        <v>0.14713175093620579</v>
      </c>
      <c r="L38" s="21">
        <f>F31</f>
        <v>0.99874324074430032</v>
      </c>
    </row>
    <row r="39" spans="2:12" x14ac:dyDescent="0.2">
      <c r="B39" s="61" t="s">
        <v>200</v>
      </c>
      <c r="H39" s="57" t="s">
        <v>155</v>
      </c>
      <c r="I39" s="57"/>
      <c r="J39" s="57"/>
      <c r="K39" s="57" t="s">
        <v>108</v>
      </c>
      <c r="L39" s="58">
        <f>SUMPRODUCT(K37:K38,L37:L38)</f>
        <v>0.14708377590716401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A869-1696-7341-8D04-0B42ACCBEACE}">
  <sheetPr>
    <tabColor theme="4" tint="-0.499984740745262"/>
  </sheetPr>
  <dimension ref="C3:G8"/>
  <sheetViews>
    <sheetView workbookViewId="0">
      <selection activeCell="F4" sqref="F4:F8"/>
    </sheetView>
  </sheetViews>
  <sheetFormatPr baseColWidth="10" defaultRowHeight="15" x14ac:dyDescent="0.2"/>
  <sheetData>
    <row r="3" spans="3:7" x14ac:dyDescent="0.2">
      <c r="D3" t="s">
        <v>176</v>
      </c>
      <c r="E3" t="s">
        <v>177</v>
      </c>
      <c r="F3" t="s">
        <v>178</v>
      </c>
    </row>
    <row r="4" spans="3:7" x14ac:dyDescent="0.2">
      <c r="C4" t="s">
        <v>171</v>
      </c>
      <c r="D4">
        <v>36.51</v>
      </c>
      <c r="E4">
        <v>0</v>
      </c>
      <c r="F4">
        <v>55.44</v>
      </c>
      <c r="G4">
        <v>156396.24</v>
      </c>
    </row>
    <row r="5" spans="3:7" x14ac:dyDescent="0.2">
      <c r="C5" t="s">
        <v>172</v>
      </c>
      <c r="D5">
        <v>86.1</v>
      </c>
      <c r="E5">
        <v>0.02</v>
      </c>
      <c r="F5">
        <v>8.92</v>
      </c>
      <c r="G5">
        <v>151390.04</v>
      </c>
    </row>
    <row r="6" spans="3:7" x14ac:dyDescent="0.2">
      <c r="C6" t="s">
        <v>173</v>
      </c>
      <c r="D6">
        <v>118.39</v>
      </c>
      <c r="E6">
        <v>0.01</v>
      </c>
      <c r="F6">
        <v>314.99</v>
      </c>
      <c r="G6">
        <v>148378.79999999999</v>
      </c>
    </row>
    <row r="7" spans="3:7" x14ac:dyDescent="0.2">
      <c r="C7" t="s">
        <v>174</v>
      </c>
      <c r="D7">
        <v>84.82</v>
      </c>
      <c r="E7">
        <v>0.01</v>
      </c>
      <c r="F7">
        <v>42.38</v>
      </c>
      <c r="G7">
        <v>148187.53</v>
      </c>
    </row>
    <row r="8" spans="3:7" x14ac:dyDescent="0.2">
      <c r="C8" t="s">
        <v>175</v>
      </c>
      <c r="D8" s="37">
        <v>235.52</v>
      </c>
      <c r="E8" s="37">
        <v>0.02</v>
      </c>
      <c r="F8" s="37">
        <v>150.55000000000001</v>
      </c>
      <c r="G8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11CE-2E2D-6A4C-AE12-1972E82BA40D}">
  <dimension ref="B4:F11"/>
  <sheetViews>
    <sheetView workbookViewId="0">
      <selection activeCell="B12" sqref="B12"/>
    </sheetView>
  </sheetViews>
  <sheetFormatPr baseColWidth="10" defaultRowHeight="15" x14ac:dyDescent="0.2"/>
  <cols>
    <col min="1" max="1" width="2" customWidth="1"/>
    <col min="3" max="3" width="14" customWidth="1"/>
    <col min="5" max="5" width="13.83203125" customWidth="1"/>
    <col min="6" max="6" width="14.33203125" customWidth="1"/>
    <col min="7" max="7" width="13" customWidth="1"/>
    <col min="8" max="8" width="14" customWidth="1"/>
  </cols>
  <sheetData>
    <row r="4" spans="2:6" x14ac:dyDescent="0.2">
      <c r="B4" t="s">
        <v>201</v>
      </c>
      <c r="C4" t="s">
        <v>202</v>
      </c>
      <c r="D4" s="16" t="s">
        <v>203</v>
      </c>
      <c r="E4" s="16" t="s">
        <v>204</v>
      </c>
      <c r="F4" s="16" t="s">
        <v>205</v>
      </c>
    </row>
    <row r="6" spans="2:6" x14ac:dyDescent="0.2">
      <c r="B6" s="62">
        <v>5</v>
      </c>
      <c r="C6" t="s">
        <v>171</v>
      </c>
      <c r="D6">
        <v>36.51</v>
      </c>
      <c r="E6">
        <v>0</v>
      </c>
      <c r="F6">
        <v>156396.24</v>
      </c>
    </row>
    <row r="7" spans="2:6" x14ac:dyDescent="0.2">
      <c r="B7" s="62">
        <v>6</v>
      </c>
      <c r="C7" t="s">
        <v>172</v>
      </c>
      <c r="D7">
        <v>86.1</v>
      </c>
      <c r="E7">
        <v>0.02</v>
      </c>
      <c r="F7">
        <v>151390.04</v>
      </c>
    </row>
    <row r="8" spans="2:6" x14ac:dyDescent="0.2">
      <c r="B8" s="62">
        <v>7</v>
      </c>
      <c r="C8" t="s">
        <v>173</v>
      </c>
      <c r="D8">
        <v>118.39</v>
      </c>
      <c r="E8">
        <v>0.01</v>
      </c>
      <c r="F8">
        <v>148378.79999999999</v>
      </c>
    </row>
    <row r="9" spans="2:6" x14ac:dyDescent="0.2">
      <c r="B9" s="62">
        <v>8</v>
      </c>
      <c r="C9" t="s">
        <v>174</v>
      </c>
      <c r="D9">
        <v>84.82</v>
      </c>
      <c r="E9">
        <v>0.01</v>
      </c>
      <c r="F9">
        <v>148187.53</v>
      </c>
    </row>
    <row r="10" spans="2:6" x14ac:dyDescent="0.2">
      <c r="B10" s="62">
        <v>9</v>
      </c>
      <c r="C10" t="s">
        <v>175</v>
      </c>
      <c r="D10">
        <v>235.52</v>
      </c>
      <c r="E10">
        <v>0.02</v>
      </c>
      <c r="F10">
        <v>143570.26999999999</v>
      </c>
    </row>
    <row r="11" spans="2:6" x14ac:dyDescent="0.2">
      <c r="B11" s="62">
        <v>10</v>
      </c>
      <c r="C11" t="s">
        <v>207</v>
      </c>
      <c r="D11">
        <v>431.9</v>
      </c>
      <c r="E11">
        <v>0.44</v>
      </c>
      <c r="F11">
        <v>159039.89000000001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0845-4E3C-5C49-AA6A-7741BEF7C6D4}">
  <dimension ref="B3:G32"/>
  <sheetViews>
    <sheetView showGridLines="0" workbookViewId="0">
      <selection activeCell="G8" sqref="G8"/>
    </sheetView>
  </sheetViews>
  <sheetFormatPr baseColWidth="10" defaultRowHeight="15" x14ac:dyDescent="0.2"/>
  <cols>
    <col min="1" max="1" width="2" customWidth="1"/>
  </cols>
  <sheetData>
    <row r="3" spans="2:7" x14ac:dyDescent="0.2">
      <c r="B3" s="12" t="s">
        <v>208</v>
      </c>
      <c r="D3" t="s">
        <v>214</v>
      </c>
    </row>
    <row r="5" spans="2:7" x14ac:dyDescent="0.2">
      <c r="B5" s="62" t="s">
        <v>209</v>
      </c>
      <c r="C5" s="16" t="s">
        <v>210</v>
      </c>
    </row>
    <row r="6" spans="2:7" x14ac:dyDescent="0.2">
      <c r="B6" s="62">
        <v>2000</v>
      </c>
      <c r="C6" s="63">
        <v>-0.14649999999999999</v>
      </c>
      <c r="E6" s="12" t="s">
        <v>211</v>
      </c>
      <c r="F6" s="12"/>
      <c r="G6" s="64">
        <f>AVERAGE(C6:C31)</f>
        <v>0.1514923076923077</v>
      </c>
    </row>
    <row r="7" spans="2:7" ht="17" x14ac:dyDescent="0.2">
      <c r="B7" s="62">
        <v>2001</v>
      </c>
      <c r="C7" s="63">
        <v>-0.1618</v>
      </c>
      <c r="E7" t="s">
        <v>212</v>
      </c>
      <c r="G7" s="65" t="s">
        <v>215</v>
      </c>
    </row>
    <row r="8" spans="2:7" x14ac:dyDescent="0.2">
      <c r="B8" s="62">
        <v>2002</v>
      </c>
      <c r="C8" s="63">
        <v>3.2500000000000001E-2</v>
      </c>
      <c r="E8" s="12" t="s">
        <v>213</v>
      </c>
      <c r="F8" s="12"/>
      <c r="G8" s="64">
        <f>SUM(G6:G7)</f>
        <v>0.1514923076923077</v>
      </c>
    </row>
    <row r="9" spans="2:7" x14ac:dyDescent="0.2">
      <c r="B9" s="62">
        <v>2003</v>
      </c>
      <c r="C9" s="63">
        <v>0.71900000000000008</v>
      </c>
    </row>
    <row r="10" spans="2:7" x14ac:dyDescent="0.2">
      <c r="B10" s="62">
        <v>2004</v>
      </c>
      <c r="C10" s="63">
        <v>0.10679999999999999</v>
      </c>
    </row>
    <row r="11" spans="2:7" x14ac:dyDescent="0.2">
      <c r="B11" s="62">
        <v>2005</v>
      </c>
      <c r="C11" s="63">
        <v>0.36340000000000006</v>
      </c>
    </row>
    <row r="12" spans="2:7" x14ac:dyDescent="0.2">
      <c r="B12" s="62">
        <v>2006</v>
      </c>
      <c r="C12" s="63">
        <v>0.39829999999999999</v>
      </c>
    </row>
    <row r="13" spans="2:7" x14ac:dyDescent="0.2">
      <c r="B13" s="62">
        <v>2007</v>
      </c>
      <c r="C13" s="63">
        <v>0.54770000000000008</v>
      </c>
    </row>
    <row r="14" spans="2:7" x14ac:dyDescent="0.2">
      <c r="B14" s="62">
        <v>2008</v>
      </c>
      <c r="C14" s="63">
        <v>-0.51790000000000003</v>
      </c>
    </row>
    <row r="15" spans="2:7" x14ac:dyDescent="0.2">
      <c r="B15" s="62">
        <v>2009</v>
      </c>
      <c r="C15" s="63">
        <v>0.75760000000000005</v>
      </c>
    </row>
    <row r="16" spans="2:7" x14ac:dyDescent="0.2">
      <c r="B16" s="62">
        <v>2010</v>
      </c>
      <c r="C16" s="63">
        <v>0.17949999999999999</v>
      </c>
    </row>
    <row r="17" spans="2:3" x14ac:dyDescent="0.2">
      <c r="B17" s="62">
        <v>2011</v>
      </c>
      <c r="C17" s="63">
        <v>-0.2462</v>
      </c>
    </row>
    <row r="18" spans="2:3" x14ac:dyDescent="0.2">
      <c r="B18" s="62">
        <v>2012</v>
      </c>
      <c r="C18" s="63">
        <v>0.27699999999999997</v>
      </c>
    </row>
    <row r="19" spans="2:3" x14ac:dyDescent="0.2">
      <c r="B19" s="62">
        <v>2013</v>
      </c>
      <c r="C19" s="63">
        <v>6.7599999999999993E-2</v>
      </c>
    </row>
    <row r="20" spans="2:3" x14ac:dyDescent="0.2">
      <c r="B20" s="62">
        <v>2014</v>
      </c>
      <c r="C20" s="63">
        <v>0.31390000000000001</v>
      </c>
    </row>
    <row r="21" spans="2:3" x14ac:dyDescent="0.2">
      <c r="B21" s="62">
        <v>2015</v>
      </c>
      <c r="C21" s="63">
        <v>-4.0599999999999997E-2</v>
      </c>
    </row>
    <row r="22" spans="2:3" x14ac:dyDescent="0.2">
      <c r="B22" s="62">
        <v>2016</v>
      </c>
      <c r="C22" s="63">
        <v>3.0099999999999998E-2</v>
      </c>
    </row>
    <row r="23" spans="2:3" x14ac:dyDescent="0.2">
      <c r="B23" s="62">
        <v>2017</v>
      </c>
      <c r="C23" s="63">
        <v>0.28649999999999998</v>
      </c>
    </row>
    <row r="24" spans="2:3" x14ac:dyDescent="0.2">
      <c r="B24" s="62">
        <v>2018</v>
      </c>
      <c r="C24" s="63">
        <v>3.15E-2</v>
      </c>
    </row>
    <row r="25" spans="2:3" x14ac:dyDescent="0.2">
      <c r="B25" s="62">
        <v>2019</v>
      </c>
      <c r="C25" s="63">
        <v>0.1202</v>
      </c>
    </row>
    <row r="26" spans="2:3" x14ac:dyDescent="0.2">
      <c r="B26" s="62">
        <v>2020</v>
      </c>
      <c r="C26" s="63">
        <v>0.14899999999999999</v>
      </c>
    </row>
    <row r="27" spans="2:3" x14ac:dyDescent="0.2">
      <c r="B27" s="62">
        <v>2021</v>
      </c>
      <c r="C27" s="63">
        <v>0.2412</v>
      </c>
    </row>
    <row r="28" spans="2:3" x14ac:dyDescent="0.2">
      <c r="B28" s="62">
        <v>2022</v>
      </c>
      <c r="C28" s="63">
        <v>4.3200000000000002E-2</v>
      </c>
    </row>
    <row r="29" spans="2:3" x14ac:dyDescent="0.2">
      <c r="B29" s="62">
        <v>2023</v>
      </c>
      <c r="C29" s="63">
        <v>0.19420000000000001</v>
      </c>
    </row>
    <row r="30" spans="2:3" x14ac:dyDescent="0.2">
      <c r="B30" s="62">
        <v>2024</v>
      </c>
      <c r="C30" s="63">
        <v>8.7499999999999994E-2</v>
      </c>
    </row>
    <row r="31" spans="2:3" x14ac:dyDescent="0.2">
      <c r="B31" s="62">
        <v>2025</v>
      </c>
      <c r="C31" s="63">
        <v>0.1051</v>
      </c>
    </row>
    <row r="32" spans="2:3" x14ac:dyDescent="0.2">
      <c r="B32" s="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1BB9-092E-674C-995C-AEADBA232F35}">
  <dimension ref="B4:H66"/>
  <sheetViews>
    <sheetView showGridLines="0" topLeftCell="A33" workbookViewId="0">
      <selection activeCell="F16" sqref="F16"/>
    </sheetView>
  </sheetViews>
  <sheetFormatPr baseColWidth="10" defaultRowHeight="15" x14ac:dyDescent="0.2"/>
  <cols>
    <col min="1" max="1" width="2" customWidth="1"/>
    <col min="2" max="2" width="22.1640625" customWidth="1"/>
    <col min="3" max="3" width="10.5" customWidth="1"/>
    <col min="4" max="4" width="14.33203125" customWidth="1"/>
    <col min="5" max="5" width="11.1640625" customWidth="1"/>
    <col min="7" max="7" width="12" customWidth="1"/>
  </cols>
  <sheetData>
    <row r="4" spans="2:8" x14ac:dyDescent="0.2">
      <c r="B4" s="72" t="s">
        <v>248</v>
      </c>
      <c r="C4" s="17"/>
      <c r="D4" s="18">
        <f>RawFS!F9</f>
        <v>43160</v>
      </c>
      <c r="E4" s="18">
        <f>RawFS!G9</f>
        <v>43525</v>
      </c>
      <c r="F4" s="18">
        <f>RawFS!H9</f>
        <v>43891</v>
      </c>
      <c r="G4" s="18">
        <f>RawFS!I9</f>
        <v>44256</v>
      </c>
      <c r="H4" s="18">
        <f>RawFS!J9</f>
        <v>44621</v>
      </c>
    </row>
    <row r="6" spans="2:8" x14ac:dyDescent="0.2">
      <c r="B6" s="12" t="s">
        <v>249</v>
      </c>
    </row>
    <row r="7" spans="2:8" x14ac:dyDescent="0.2">
      <c r="B7" t="str">
        <f>RawFS!B39</f>
        <v>Inventories</v>
      </c>
      <c r="D7" s="76">
        <f>RawFS!F39</f>
        <v>42138</v>
      </c>
      <c r="E7" s="76">
        <f>RawFS!G39</f>
        <v>39014</v>
      </c>
      <c r="F7" s="76">
        <f>RawFS!H39</f>
        <v>37457</v>
      </c>
      <c r="G7" s="76">
        <f>RawFS!I39</f>
        <v>36089</v>
      </c>
      <c r="H7" s="76">
        <f>RawFS!J39</f>
        <v>35240</v>
      </c>
    </row>
    <row r="8" spans="2:8" x14ac:dyDescent="0.2">
      <c r="B8" t="str">
        <f>RawFS!B40</f>
        <v>Trade receivables</v>
      </c>
      <c r="D8" s="76">
        <f>RawFS!F40</f>
        <v>19893</v>
      </c>
      <c r="E8" s="76">
        <f>RawFS!G40</f>
        <v>18996</v>
      </c>
      <c r="F8" s="76">
        <f>RawFS!H40</f>
        <v>11173</v>
      </c>
      <c r="G8" s="76">
        <f>RawFS!I40</f>
        <v>12679</v>
      </c>
      <c r="H8" s="76">
        <f>RawFS!J40</f>
        <v>12442</v>
      </c>
    </row>
    <row r="9" spans="2:8" x14ac:dyDescent="0.2">
      <c r="B9" t="str">
        <f>RawFS!B42</f>
        <v>Loans n Advances</v>
      </c>
      <c r="D9" s="76">
        <f>RawFS!F42</f>
        <v>4066</v>
      </c>
      <c r="E9" s="76">
        <f>RawFS!G42</f>
        <v>3620</v>
      </c>
      <c r="F9" s="76">
        <f>RawFS!H42</f>
        <v>3353</v>
      </c>
      <c r="G9" s="76">
        <f>RawFS!I42</f>
        <v>4520</v>
      </c>
      <c r="H9" s="76">
        <f>RawFS!J42</f>
        <v>4583</v>
      </c>
    </row>
    <row r="10" spans="2:8" x14ac:dyDescent="0.2">
      <c r="B10" t="str">
        <f>RawFS!B43</f>
        <v>Other asset items</v>
      </c>
      <c r="D10" s="76">
        <f>RawFS!F43</f>
        <v>44221</v>
      </c>
      <c r="E10" s="76">
        <f>RawFS!G43</f>
        <v>52535</v>
      </c>
      <c r="F10" s="76">
        <f>RawFS!H43</f>
        <v>55432</v>
      </c>
      <c r="G10" s="76">
        <f>RawFS!I43</f>
        <v>57198</v>
      </c>
      <c r="H10" s="76">
        <f>RawFS!J43</f>
        <v>57641</v>
      </c>
    </row>
    <row r="11" spans="2:8" x14ac:dyDescent="0.2">
      <c r="B11" s="57" t="s">
        <v>250</v>
      </c>
      <c r="C11" s="57"/>
      <c r="D11" s="77">
        <f>SUM(D7:D10)</f>
        <v>110318</v>
      </c>
      <c r="E11" s="77">
        <f t="shared" ref="E11:H11" si="0">SUM(E7:E10)</f>
        <v>114165</v>
      </c>
      <c r="F11" s="77">
        <f t="shared" si="0"/>
        <v>107415</v>
      </c>
      <c r="G11" s="77">
        <f t="shared" si="0"/>
        <v>110486</v>
      </c>
      <c r="H11" s="77">
        <f t="shared" si="0"/>
        <v>109906</v>
      </c>
    </row>
    <row r="12" spans="2:8" x14ac:dyDescent="0.2">
      <c r="D12" s="76"/>
      <c r="E12" s="76"/>
      <c r="F12" s="76"/>
      <c r="G12" s="76"/>
      <c r="H12" s="76"/>
    </row>
    <row r="13" spans="2:8" x14ac:dyDescent="0.2">
      <c r="B13" s="12" t="s">
        <v>251</v>
      </c>
      <c r="D13" s="76"/>
      <c r="E13" s="76"/>
      <c r="F13" s="76"/>
      <c r="G13" s="76"/>
      <c r="H13" s="76"/>
    </row>
    <row r="14" spans="2:8" x14ac:dyDescent="0.2">
      <c r="B14" t="str">
        <f>RawFS!B20</f>
        <v>Trade Payables</v>
      </c>
      <c r="D14" s="76">
        <f>RawFS!F20</f>
        <v>76940</v>
      </c>
      <c r="E14" s="76">
        <f>RawFS!G20</f>
        <v>71691</v>
      </c>
      <c r="F14" s="76">
        <f>RawFS!H20</f>
        <v>66398</v>
      </c>
      <c r="G14" s="76">
        <f>RawFS!I20</f>
        <v>76040</v>
      </c>
      <c r="H14" s="76">
        <f>RawFS!J20</f>
        <v>69750</v>
      </c>
    </row>
    <row r="15" spans="2:8" x14ac:dyDescent="0.2">
      <c r="B15" t="str">
        <f>RawFS!B21</f>
        <v>Advance from Customers</v>
      </c>
      <c r="D15" s="76">
        <f>RawFS!F21</f>
        <v>0</v>
      </c>
      <c r="E15" s="76">
        <f>RawFS!G21</f>
        <v>0</v>
      </c>
      <c r="F15" s="76">
        <f>RawFS!H21</f>
        <v>0</v>
      </c>
      <c r="G15" s="76">
        <f>RawFS!I21</f>
        <v>0</v>
      </c>
      <c r="H15" s="76">
        <f>RawFS!J21</f>
        <v>0</v>
      </c>
    </row>
    <row r="16" spans="2:8" x14ac:dyDescent="0.2">
      <c r="B16" t="str">
        <f>RawFS!B22</f>
        <v>Other liability items</v>
      </c>
      <c r="D16" s="76">
        <f>RawFS!F22</f>
        <v>65349</v>
      </c>
      <c r="E16" s="76">
        <f>RawFS!G22</f>
        <v>67135</v>
      </c>
      <c r="F16" s="76">
        <f>RawFS!H22</f>
        <v>65101</v>
      </c>
      <c r="G16" s="76">
        <f>RawFS!I22</f>
        <v>66579</v>
      </c>
      <c r="H16" s="76">
        <f>RawFS!J22</f>
        <v>64030</v>
      </c>
    </row>
    <row r="17" spans="2:8" x14ac:dyDescent="0.2">
      <c r="B17" s="57" t="s">
        <v>252</v>
      </c>
      <c r="C17" s="57"/>
      <c r="D17" s="77">
        <f>SUM(D14:D16)</f>
        <v>142289</v>
      </c>
      <c r="E17" s="77">
        <f>SUM(E14:E16)</f>
        <v>138826</v>
      </c>
      <c r="F17" s="77">
        <f>SUM(F14:F16)</f>
        <v>131499</v>
      </c>
      <c r="G17" s="77">
        <f>SUM(G14:G16)</f>
        <v>142619</v>
      </c>
      <c r="H17" s="77">
        <f>SUM(H14:H16)</f>
        <v>133780</v>
      </c>
    </row>
    <row r="18" spans="2:8" x14ac:dyDescent="0.2">
      <c r="D18" s="76"/>
      <c r="E18" s="76"/>
      <c r="F18" s="76"/>
      <c r="G18" s="76"/>
      <c r="H18" s="76"/>
    </row>
    <row r="19" spans="2:8" ht="16" thickBot="1" x14ac:dyDescent="0.25">
      <c r="B19" s="73" t="s">
        <v>253</v>
      </c>
      <c r="C19" s="73"/>
      <c r="D19" s="78">
        <f>D11-D17</f>
        <v>-31971</v>
      </c>
      <c r="E19" s="78">
        <f t="shared" ref="E19:H19" si="1">E11-E17</f>
        <v>-24661</v>
      </c>
      <c r="F19" s="78">
        <f t="shared" si="1"/>
        <v>-24084</v>
      </c>
      <c r="G19" s="78">
        <f t="shared" si="1"/>
        <v>-32133</v>
      </c>
      <c r="H19" s="78">
        <f t="shared" si="1"/>
        <v>-23874</v>
      </c>
    </row>
    <row r="20" spans="2:8" ht="16" thickTop="1" x14ac:dyDescent="0.2">
      <c r="D20" s="76"/>
      <c r="E20" s="76"/>
      <c r="F20" s="76"/>
      <c r="G20" s="76"/>
      <c r="H20" s="76"/>
    </row>
    <row r="21" spans="2:8" x14ac:dyDescent="0.2">
      <c r="D21" s="76"/>
      <c r="E21" s="76"/>
      <c r="F21" s="76"/>
      <c r="G21" s="76"/>
      <c r="H21" s="76"/>
    </row>
    <row r="22" spans="2:8" x14ac:dyDescent="0.2">
      <c r="B22" s="12" t="s">
        <v>254</v>
      </c>
      <c r="D22" s="76"/>
      <c r="E22" s="76"/>
      <c r="F22" s="76"/>
      <c r="G22" s="76"/>
      <c r="H22" s="76"/>
    </row>
    <row r="23" spans="2:8" x14ac:dyDescent="0.2">
      <c r="B23" t="str">
        <f>RawFS!B25</f>
        <v>Land</v>
      </c>
      <c r="D23" s="76">
        <f>RawFS!F25</f>
        <v>7339</v>
      </c>
      <c r="E23" s="76">
        <f>RawFS!G25</f>
        <v>7286</v>
      </c>
      <c r="F23" s="76">
        <f>RawFS!H25</f>
        <v>7675</v>
      </c>
      <c r="G23" s="76">
        <f>RawFS!I25</f>
        <v>7819</v>
      </c>
      <c r="H23" s="76">
        <f>RawFS!J25</f>
        <v>7760</v>
      </c>
    </row>
    <row r="24" spans="2:8" x14ac:dyDescent="0.2">
      <c r="B24" t="str">
        <f>RawFS!B26</f>
        <v>Building</v>
      </c>
      <c r="D24" s="76">
        <f>RawFS!F26</f>
        <v>16552</v>
      </c>
      <c r="E24" s="76">
        <f>RawFS!G26</f>
        <v>22938</v>
      </c>
      <c r="F24" s="76">
        <f>RawFS!H26</f>
        <v>32665</v>
      </c>
      <c r="G24" s="76">
        <f>RawFS!I26</f>
        <v>35537</v>
      </c>
      <c r="H24" s="76">
        <f>RawFS!J26</f>
        <v>36466</v>
      </c>
    </row>
    <row r="25" spans="2:8" x14ac:dyDescent="0.2">
      <c r="B25" t="str">
        <f>RawFS!B27</f>
        <v>Plant Machinery</v>
      </c>
      <c r="D25" s="76">
        <f>RawFS!F27</f>
        <v>100226</v>
      </c>
      <c r="E25" s="76">
        <f>RawFS!G27</f>
        <v>109415</v>
      </c>
      <c r="F25" s="76">
        <f>RawFS!H27</f>
        <v>124158</v>
      </c>
      <c r="G25" s="76">
        <f>RawFS!I27</f>
        <v>138868</v>
      </c>
      <c r="H25" s="76">
        <f>RawFS!J27</f>
        <v>148585</v>
      </c>
    </row>
    <row r="26" spans="2:8" x14ac:dyDescent="0.2">
      <c r="B26" t="str">
        <f>RawFS!B28</f>
        <v>Equipments</v>
      </c>
      <c r="D26" s="76">
        <f>RawFS!F28</f>
        <v>0</v>
      </c>
      <c r="E26" s="76">
        <f>RawFS!G28</f>
        <v>0</v>
      </c>
      <c r="F26" s="76">
        <f>RawFS!H28</f>
        <v>0</v>
      </c>
      <c r="G26" s="76">
        <f>RawFS!I28</f>
        <v>0</v>
      </c>
      <c r="H26" s="76">
        <f>RawFS!J28</f>
        <v>0</v>
      </c>
    </row>
    <row r="27" spans="2:8" x14ac:dyDescent="0.2">
      <c r="B27" t="str">
        <f>RawFS!B29</f>
        <v>Computers</v>
      </c>
      <c r="D27" s="76">
        <f>RawFS!F29</f>
        <v>1943</v>
      </c>
      <c r="E27" s="76">
        <f>RawFS!G29</f>
        <v>2335</v>
      </c>
      <c r="F27" s="76">
        <f>RawFS!H29</f>
        <v>3054</v>
      </c>
      <c r="G27" s="76">
        <f>RawFS!I29</f>
        <v>3172</v>
      </c>
      <c r="H27" s="76">
        <f>RawFS!J29</f>
        <v>3383</v>
      </c>
    </row>
    <row r="28" spans="2:8" x14ac:dyDescent="0.2">
      <c r="B28" t="str">
        <f>RawFS!B30</f>
        <v>Furniture n fittings</v>
      </c>
      <c r="D28" s="76">
        <f>RawFS!F30</f>
        <v>1430</v>
      </c>
      <c r="E28" s="76">
        <f>RawFS!G30</f>
        <v>1626</v>
      </c>
      <c r="F28" s="76">
        <f>RawFS!H30</f>
        <v>1890</v>
      </c>
      <c r="G28" s="76">
        <f>RawFS!I30</f>
        <v>1956</v>
      </c>
      <c r="H28" s="76">
        <f>RawFS!J30</f>
        <v>1984</v>
      </c>
    </row>
    <row r="29" spans="2:8" x14ac:dyDescent="0.2">
      <c r="B29" t="str">
        <f>RawFS!B31</f>
        <v>Vehicles</v>
      </c>
      <c r="D29" s="76">
        <f>RawFS!F31</f>
        <v>353</v>
      </c>
      <c r="E29" s="76">
        <f>RawFS!G31</f>
        <v>387</v>
      </c>
      <c r="F29" s="76">
        <f>RawFS!H31</f>
        <v>601</v>
      </c>
      <c r="G29" s="76">
        <f>RawFS!I31</f>
        <v>845</v>
      </c>
      <c r="H29" s="76">
        <f>RawFS!J31</f>
        <v>725</v>
      </c>
    </row>
    <row r="30" spans="2:8" x14ac:dyDescent="0.2">
      <c r="B30" t="str">
        <f>RawFS!B32</f>
        <v>Intangible Assets</v>
      </c>
      <c r="D30" s="76">
        <f>RawFS!F32</f>
        <v>77870</v>
      </c>
      <c r="E30" s="76">
        <f>RawFS!G32</f>
        <v>80480</v>
      </c>
      <c r="F30" s="76">
        <f>RawFS!H32</f>
        <v>91157</v>
      </c>
      <c r="G30" s="76">
        <f>RawFS!I32</f>
        <v>114809</v>
      </c>
      <c r="H30" s="76">
        <f>RawFS!J32</f>
        <v>114323</v>
      </c>
    </row>
    <row r="31" spans="2:8" x14ac:dyDescent="0.2">
      <c r="B31" t="str">
        <f>RawFS!B33</f>
        <v>Other fixed assets</v>
      </c>
      <c r="D31" s="76">
        <f>RawFS!F33</f>
        <v>7497</v>
      </c>
      <c r="E31" s="76">
        <f>RawFS!G33</f>
        <v>8049</v>
      </c>
      <c r="F31" s="76">
        <f>RawFS!H33</f>
        <v>9380</v>
      </c>
      <c r="G31" s="76">
        <f>RawFS!I33</f>
        <v>10686</v>
      </c>
      <c r="H31" s="76">
        <f>RawFS!J33</f>
        <v>10870</v>
      </c>
    </row>
    <row r="32" spans="2:8" x14ac:dyDescent="0.2">
      <c r="D32" s="76"/>
      <c r="E32" s="76"/>
      <c r="F32" s="76"/>
      <c r="G32" s="76"/>
      <c r="H32" s="76"/>
    </row>
    <row r="33" spans="2:8" x14ac:dyDescent="0.2">
      <c r="B33" s="57" t="s">
        <v>237</v>
      </c>
      <c r="C33" s="57"/>
      <c r="D33" s="77">
        <f>SUM(D23:D31)</f>
        <v>213210</v>
      </c>
      <c r="E33" s="77">
        <f t="shared" ref="E33:H33" si="2">SUM(E23:E31)</f>
        <v>232516</v>
      </c>
      <c r="F33" s="77">
        <f t="shared" si="2"/>
        <v>270580</v>
      </c>
      <c r="G33" s="77">
        <f t="shared" si="2"/>
        <v>313692</v>
      </c>
      <c r="H33" s="77">
        <f t="shared" si="2"/>
        <v>324096</v>
      </c>
    </row>
    <row r="34" spans="2:8" x14ac:dyDescent="0.2">
      <c r="B34" t="s">
        <v>238</v>
      </c>
      <c r="D34" s="76">
        <f>-RawFS!F35</f>
        <v>-91795</v>
      </c>
      <c r="E34" s="76">
        <f>-RawFS!G35</f>
        <v>-121283</v>
      </c>
      <c r="F34" s="76">
        <f>-RawFS!H35</f>
        <v>-143471</v>
      </c>
      <c r="G34" s="76">
        <f>-RawFS!I35</f>
        <v>-174985</v>
      </c>
      <c r="H34" s="76">
        <f>-RawFS!J35</f>
        <v>-185241</v>
      </c>
    </row>
    <row r="35" spans="2:8" x14ac:dyDescent="0.2">
      <c r="B35" s="74" t="s">
        <v>255</v>
      </c>
      <c r="C35" s="74"/>
      <c r="D35" s="79">
        <f>SUM(D33:D34)</f>
        <v>121415</v>
      </c>
      <c r="E35" s="79">
        <f t="shared" ref="E35:H35" si="3">SUM(E33:E34)</f>
        <v>111233</v>
      </c>
      <c r="F35" s="79">
        <f t="shared" si="3"/>
        <v>127109</v>
      </c>
      <c r="G35" s="79">
        <f t="shared" si="3"/>
        <v>138707</v>
      </c>
      <c r="H35" s="79">
        <f t="shared" si="3"/>
        <v>138855</v>
      </c>
    </row>
    <row r="36" spans="2:8" x14ac:dyDescent="0.2">
      <c r="D36" s="76"/>
      <c r="E36" s="76"/>
      <c r="F36" s="76"/>
      <c r="G36" s="76"/>
      <c r="H36" s="76"/>
    </row>
    <row r="37" spans="2:8" x14ac:dyDescent="0.2">
      <c r="B37" s="12" t="s">
        <v>256</v>
      </c>
      <c r="D37" s="76">
        <f>D35+D19</f>
        <v>89444</v>
      </c>
      <c r="E37" s="76">
        <f t="shared" ref="E37:H37" si="4">E35+E19</f>
        <v>86572</v>
      </c>
      <c r="F37" s="76">
        <f t="shared" si="4"/>
        <v>103025</v>
      </c>
      <c r="G37" s="76">
        <f t="shared" si="4"/>
        <v>106574</v>
      </c>
      <c r="H37" s="76">
        <f t="shared" si="4"/>
        <v>114981</v>
      </c>
    </row>
    <row r="38" spans="2:8" x14ac:dyDescent="0.2">
      <c r="B38" s="75" t="s">
        <v>257</v>
      </c>
      <c r="C38" s="75"/>
      <c r="D38" s="80">
        <f>'Historical Data'!H25+'Historical Data'!H19</f>
        <v>9904.0899999999929</v>
      </c>
      <c r="E38" s="80">
        <f>'Historical Data'!I25+'Historical Data'!I19</f>
        <v>1073.7000000000207</v>
      </c>
      <c r="F38" s="80">
        <f>'Historical Data'!J25+'Historical Data'!J19</f>
        <v>-3438.3600000000388</v>
      </c>
      <c r="G38" s="80">
        <f>'Historical Data'!K25+'Historical Data'!K19</f>
        <v>8740.7199999999921</v>
      </c>
      <c r="H38" s="80">
        <f>'Historical Data'!L25+'Historical Data'!L19</f>
        <v>-115.59999999998763</v>
      </c>
    </row>
    <row r="39" spans="2:8" x14ac:dyDescent="0.2">
      <c r="D39" s="76"/>
      <c r="E39" s="76"/>
      <c r="F39" s="76"/>
      <c r="G39" s="76"/>
      <c r="H39" s="76"/>
    </row>
    <row r="40" spans="2:8" x14ac:dyDescent="0.2">
      <c r="B40" s="12" t="s">
        <v>258</v>
      </c>
      <c r="D40" s="29">
        <f>D38/D37</f>
        <v>0.11072950673046815</v>
      </c>
      <c r="E40" s="29">
        <f t="shared" ref="E40:H40" si="5">E38/E37</f>
        <v>1.2402393383542262E-2</v>
      </c>
      <c r="F40" s="29">
        <f t="shared" si="5"/>
        <v>-3.337403542829448E-2</v>
      </c>
      <c r="G40" s="29">
        <f t="shared" si="5"/>
        <v>8.2015500966464538E-2</v>
      </c>
      <c r="H40" s="29">
        <f t="shared" si="5"/>
        <v>-1.005383498143064E-3</v>
      </c>
    </row>
    <row r="42" spans="2:8" x14ac:dyDescent="0.2">
      <c r="B42" t="s">
        <v>108</v>
      </c>
    </row>
    <row r="43" spans="2:8" x14ac:dyDescent="0.2">
      <c r="B43" s="72" t="s">
        <v>261</v>
      </c>
      <c r="C43" s="17"/>
      <c r="D43" s="18">
        <f>D4</f>
        <v>43160</v>
      </c>
      <c r="E43" s="18">
        <f t="shared" ref="E43:H43" si="6">E4</f>
        <v>43525</v>
      </c>
      <c r="F43" s="18">
        <f t="shared" si="6"/>
        <v>43891</v>
      </c>
      <c r="G43" s="18">
        <f t="shared" si="6"/>
        <v>44256</v>
      </c>
      <c r="H43" s="18">
        <f t="shared" si="6"/>
        <v>44621</v>
      </c>
    </row>
    <row r="45" spans="2:8" x14ac:dyDescent="0.2">
      <c r="B45" t="s">
        <v>259</v>
      </c>
      <c r="D45" s="15">
        <f>SUM(RawFS!F58,RawFS!F59)</f>
        <v>-35049</v>
      </c>
      <c r="E45" s="15">
        <f>SUM(RawFS!G58,RawFS!G59)</f>
        <v>-35237</v>
      </c>
      <c r="F45" s="15">
        <f>SUM(RawFS!H58,RawFS!H59)</f>
        <v>-29531</v>
      </c>
      <c r="G45" s="15">
        <f>SUM(RawFS!I58,RawFS!I59)</f>
        <v>-19854</v>
      </c>
      <c r="H45" s="15">
        <f>SUM(RawFS!J58,RawFS!J59)</f>
        <v>-14938</v>
      </c>
    </row>
    <row r="46" spans="2:8" x14ac:dyDescent="0.2">
      <c r="B46" t="s">
        <v>260</v>
      </c>
      <c r="E46" s="15">
        <f>E19-D19</f>
        <v>7310</v>
      </c>
      <c r="F46" s="15">
        <f t="shared" ref="F46:H46" si="7">F19-E19</f>
        <v>577</v>
      </c>
      <c r="G46" s="15">
        <f t="shared" si="7"/>
        <v>-8049</v>
      </c>
      <c r="H46" s="15">
        <f t="shared" si="7"/>
        <v>8259</v>
      </c>
    </row>
    <row r="48" spans="2:8" x14ac:dyDescent="0.2">
      <c r="B48" t="s">
        <v>257</v>
      </c>
      <c r="D48" s="30">
        <f>D38</f>
        <v>9904.0899999999929</v>
      </c>
      <c r="E48" s="30">
        <f t="shared" ref="E48:H48" si="8">E38</f>
        <v>1073.7000000000207</v>
      </c>
      <c r="F48" s="30">
        <f t="shared" si="8"/>
        <v>-3438.3600000000388</v>
      </c>
      <c r="G48" s="30">
        <f t="shared" si="8"/>
        <v>8740.7199999999921</v>
      </c>
      <c r="H48" s="30">
        <f t="shared" si="8"/>
        <v>-115.59999999998763</v>
      </c>
    </row>
    <row r="49" spans="2:8" x14ac:dyDescent="0.2">
      <c r="B49" t="s">
        <v>262</v>
      </c>
      <c r="D49" s="67">
        <v>0.25</v>
      </c>
      <c r="E49" s="67">
        <v>0.25</v>
      </c>
      <c r="F49" s="67">
        <v>0.25</v>
      </c>
      <c r="G49" s="67">
        <v>0.25</v>
      </c>
      <c r="H49" s="67">
        <v>0.25</v>
      </c>
    </row>
    <row r="50" spans="2:8" x14ac:dyDescent="0.2">
      <c r="B50" t="s">
        <v>263</v>
      </c>
      <c r="D50">
        <f>D48*(1-D49)</f>
        <v>7428.0674999999947</v>
      </c>
      <c r="E50">
        <f t="shared" ref="E50:H50" si="9">E48*(1-E49)</f>
        <v>805.27500000001555</v>
      </c>
      <c r="F50">
        <f t="shared" si="9"/>
        <v>-2578.7700000000291</v>
      </c>
      <c r="G50">
        <f t="shared" si="9"/>
        <v>6555.5399999999936</v>
      </c>
      <c r="H50">
        <f t="shared" si="9"/>
        <v>-86.699999999990723</v>
      </c>
    </row>
    <row r="52" spans="2:8" x14ac:dyDescent="0.2">
      <c r="B52" t="s">
        <v>264</v>
      </c>
      <c r="E52" s="15">
        <f>SUM(E45:E46)</f>
        <v>-27927</v>
      </c>
      <c r="F52" s="15">
        <f t="shared" ref="F52:H52" si="10">SUM(F45:F46)</f>
        <v>-28954</v>
      </c>
      <c r="G52" s="15">
        <f t="shared" si="10"/>
        <v>-27903</v>
      </c>
      <c r="H52" s="15">
        <f t="shared" si="10"/>
        <v>-6679</v>
      </c>
    </row>
    <row r="53" spans="2:8" x14ac:dyDescent="0.2">
      <c r="B53" t="s">
        <v>265</v>
      </c>
      <c r="E53" s="29">
        <f>E52/E50</f>
        <v>-34.680078234142947</v>
      </c>
      <c r="F53" s="29">
        <f t="shared" ref="F53:H53" si="11">F52/F50</f>
        <v>11.227833424461924</v>
      </c>
      <c r="G53" s="29">
        <f t="shared" si="11"/>
        <v>-4.2563999304405167</v>
      </c>
      <c r="H53" s="29">
        <f t="shared" si="11"/>
        <v>77.035755478670296</v>
      </c>
    </row>
    <row r="55" spans="2:8" x14ac:dyDescent="0.2">
      <c r="G55" s="12" t="s">
        <v>266</v>
      </c>
      <c r="H55" s="64">
        <f>AVERAGE(E53:H53)</f>
        <v>12.331777684637188</v>
      </c>
    </row>
    <row r="56" spans="2:8" x14ac:dyDescent="0.2">
      <c r="G56" s="12" t="s">
        <v>267</v>
      </c>
      <c r="H56" s="64">
        <f>MEDIAN(E53:H53)</f>
        <v>3.4857167470107031</v>
      </c>
    </row>
    <row r="58" spans="2:8" x14ac:dyDescent="0.2">
      <c r="B58" s="72" t="s">
        <v>268</v>
      </c>
      <c r="C58" s="17"/>
      <c r="D58" s="18">
        <f>D43</f>
        <v>43160</v>
      </c>
      <c r="E58" s="18">
        <f t="shared" ref="E58:H58" si="12">E43</f>
        <v>43525</v>
      </c>
      <c r="F58" s="18">
        <f t="shared" si="12"/>
        <v>43891</v>
      </c>
      <c r="G58" s="18">
        <f t="shared" si="12"/>
        <v>44256</v>
      </c>
      <c r="H58" s="18">
        <f t="shared" si="12"/>
        <v>44621</v>
      </c>
    </row>
    <row r="60" spans="2:8" x14ac:dyDescent="0.2">
      <c r="B60" t="s">
        <v>269</v>
      </c>
      <c r="D60" s="21"/>
      <c r="E60" s="21">
        <f>E53</f>
        <v>-34.680078234142947</v>
      </c>
      <c r="F60" s="21">
        <f t="shared" ref="F60:H60" si="13">F53</f>
        <v>11.227833424461924</v>
      </c>
      <c r="G60" s="21">
        <f t="shared" si="13"/>
        <v>-4.2563999304405167</v>
      </c>
      <c r="H60" s="21">
        <f t="shared" si="13"/>
        <v>77.035755478670296</v>
      </c>
    </row>
    <row r="61" spans="2:8" x14ac:dyDescent="0.2">
      <c r="B61" t="s">
        <v>258</v>
      </c>
      <c r="D61" s="21"/>
      <c r="E61" s="21">
        <f>E40</f>
        <v>1.2402393383542262E-2</v>
      </c>
      <c r="F61" s="21">
        <f t="shared" ref="F61:H61" si="14">F40</f>
        <v>-3.337403542829448E-2</v>
      </c>
      <c r="G61" s="21">
        <f t="shared" si="14"/>
        <v>8.2015500966464538E-2</v>
      </c>
      <c r="H61" s="21">
        <f t="shared" si="14"/>
        <v>-1.005383498143064E-3</v>
      </c>
    </row>
    <row r="63" spans="2:8" x14ac:dyDescent="0.2">
      <c r="B63" s="48" t="s">
        <v>270</v>
      </c>
      <c r="C63" s="48"/>
      <c r="D63" s="48"/>
      <c r="E63" s="49">
        <f>E60*E61</f>
        <v>-0.43011597283186248</v>
      </c>
      <c r="F63" s="49">
        <f t="shared" ref="F63:H63" si="15">F60*F61</f>
        <v>-0.37471811049098119</v>
      </c>
      <c r="G63" s="49">
        <f t="shared" si="15"/>
        <v>-0.3490907726087038</v>
      </c>
      <c r="H63" s="49">
        <f t="shared" si="15"/>
        <v>-7.7450477325239256E-2</v>
      </c>
    </row>
    <row r="65" spans="7:8" x14ac:dyDescent="0.2">
      <c r="G65" s="12" t="s">
        <v>266</v>
      </c>
      <c r="H65" s="64">
        <f>AVERAGE(E63:H63)</f>
        <v>-0.30784383331419668</v>
      </c>
    </row>
    <row r="66" spans="7:8" x14ac:dyDescent="0.2">
      <c r="G66" s="12" t="s">
        <v>267</v>
      </c>
      <c r="H66" s="64">
        <f>MEDIAN(E63:H63)</f>
        <v>-0.36190444154984247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C271-078B-A94C-8447-644207A4A8F9}">
  <dimension ref="B3:J49"/>
  <sheetViews>
    <sheetView showGridLines="0" workbookViewId="0">
      <selection activeCell="E16" sqref="E16:I16"/>
    </sheetView>
  </sheetViews>
  <sheetFormatPr baseColWidth="10" defaultRowHeight="15" x14ac:dyDescent="0.2"/>
  <cols>
    <col min="1" max="1" width="2" customWidth="1"/>
    <col min="2" max="2" width="25.6640625" customWidth="1"/>
    <col min="3" max="3" width="17.1640625" customWidth="1"/>
    <col min="5" max="9" width="11.6640625" bestFit="1" customWidth="1"/>
  </cols>
  <sheetData>
    <row r="3" spans="2:10" x14ac:dyDescent="0.2">
      <c r="B3" s="72" t="s">
        <v>271</v>
      </c>
      <c r="C3" s="17"/>
      <c r="D3" s="81">
        <f>'Intrinsic growth'!H43</f>
        <v>44621</v>
      </c>
      <c r="E3" s="82">
        <f>D3+366</f>
        <v>44987</v>
      </c>
      <c r="F3" s="82">
        <f t="shared" ref="F3:I3" si="0">E3+366</f>
        <v>45353</v>
      </c>
      <c r="G3" s="82">
        <f t="shared" si="0"/>
        <v>45719</v>
      </c>
      <c r="H3" s="82">
        <f t="shared" si="0"/>
        <v>46085</v>
      </c>
      <c r="I3" s="82">
        <f t="shared" si="0"/>
        <v>46451</v>
      </c>
    </row>
    <row r="5" spans="2:10" x14ac:dyDescent="0.2">
      <c r="B5" t="s">
        <v>257</v>
      </c>
      <c r="D5">
        <f>'Data Sheet'!I51-'Data Sheet'!I45</f>
        <v>2105.9000000000005</v>
      </c>
      <c r="E5" s="30">
        <f>D5*(1+$D$21)</f>
        <v>2542.8742500000008</v>
      </c>
      <c r="F5" s="30">
        <f t="shared" ref="F5:I5" si="1">E5*(1+$D$21)</f>
        <v>3070.5206568750009</v>
      </c>
      <c r="G5" s="30">
        <f t="shared" si="1"/>
        <v>3707.6536931765636</v>
      </c>
      <c r="H5" s="30">
        <f t="shared" si="1"/>
        <v>4476.9918345107008</v>
      </c>
      <c r="I5" s="30">
        <f t="shared" si="1"/>
        <v>5405.9676401716715</v>
      </c>
    </row>
    <row r="7" spans="2:10" x14ac:dyDescent="0.2">
      <c r="B7" t="s">
        <v>272</v>
      </c>
      <c r="D7" s="67">
        <v>0.25</v>
      </c>
      <c r="E7" s="21">
        <f>D7</f>
        <v>0.25</v>
      </c>
      <c r="F7" s="21">
        <f t="shared" ref="F7:I7" si="2">E7</f>
        <v>0.25</v>
      </c>
      <c r="G7" s="21">
        <f t="shared" si="2"/>
        <v>0.25</v>
      </c>
      <c r="H7" s="21">
        <f t="shared" si="2"/>
        <v>0.25</v>
      </c>
      <c r="I7" s="21">
        <f t="shared" si="2"/>
        <v>0.25</v>
      </c>
    </row>
    <row r="9" spans="2:10" x14ac:dyDescent="0.2">
      <c r="B9" t="s">
        <v>263</v>
      </c>
      <c r="D9">
        <f>D5*(1-D7)</f>
        <v>1579.4250000000004</v>
      </c>
      <c r="E9" s="30">
        <f t="shared" ref="E9:I9" si="3">E5*(1-E7)</f>
        <v>1907.1556875000006</v>
      </c>
      <c r="F9" s="30">
        <f t="shared" si="3"/>
        <v>2302.8904926562509</v>
      </c>
      <c r="G9" s="30">
        <f t="shared" si="3"/>
        <v>2780.7402698824226</v>
      </c>
      <c r="H9" s="30">
        <f t="shared" si="3"/>
        <v>3357.7438758830258</v>
      </c>
      <c r="I9" s="30">
        <f t="shared" si="3"/>
        <v>4054.4757301287536</v>
      </c>
    </row>
    <row r="11" spans="2:10" x14ac:dyDescent="0.2">
      <c r="B11" t="s">
        <v>273</v>
      </c>
      <c r="D11" s="21">
        <f>'Intrinsic growth'!H56</f>
        <v>3.4857167470107031</v>
      </c>
      <c r="E11" s="21">
        <f>D11-((D11-I11)/4)</f>
        <v>2.8280375602580272</v>
      </c>
      <c r="F11" s="21">
        <f t="shared" ref="F11:H11" si="4">E11-((E11-J11)/4)</f>
        <v>2.1210281701935205</v>
      </c>
      <c r="G11" s="21">
        <f t="shared" si="4"/>
        <v>1.5907711276451404</v>
      </c>
      <c r="H11" s="21">
        <f t="shared" si="4"/>
        <v>1.1930783457338552</v>
      </c>
      <c r="I11" s="67">
        <v>0.85499999999999998</v>
      </c>
    </row>
    <row r="13" spans="2:10" x14ac:dyDescent="0.2">
      <c r="B13" t="s">
        <v>274</v>
      </c>
      <c r="D13">
        <f>D9*(1-D11)</f>
        <v>-3926.0031731473809</v>
      </c>
      <c r="E13" s="30">
        <f t="shared" ref="E13:I13" si="5">E9*(1-E11)</f>
        <v>-3486.3522300097216</v>
      </c>
      <c r="F13" s="30">
        <f t="shared" si="5"/>
        <v>-2581.6051151384918</v>
      </c>
      <c r="G13" s="30">
        <f t="shared" si="5"/>
        <v>-1642.7810649266908</v>
      </c>
      <c r="H13" s="30">
        <f t="shared" si="5"/>
        <v>-648.30763295347776</v>
      </c>
      <c r="I13" s="30">
        <f t="shared" si="5"/>
        <v>587.89898086866936</v>
      </c>
    </row>
    <row r="15" spans="2:10" x14ac:dyDescent="0.2">
      <c r="B15" t="s">
        <v>275</v>
      </c>
      <c r="E15" s="68">
        <v>0.5</v>
      </c>
      <c r="F15">
        <f>E15+1</f>
        <v>1.5</v>
      </c>
      <c r="G15">
        <f t="shared" ref="G15:I15" si="6">F15+1</f>
        <v>2.5</v>
      </c>
      <c r="H15">
        <f t="shared" si="6"/>
        <v>3.5</v>
      </c>
      <c r="I15">
        <f t="shared" si="6"/>
        <v>4.5</v>
      </c>
    </row>
    <row r="16" spans="2:10" x14ac:dyDescent="0.2">
      <c r="B16" t="s">
        <v>276</v>
      </c>
      <c r="E16" s="30">
        <f>1/(1+$D$23)^E15</f>
        <v>0.93368940646453846</v>
      </c>
      <c r="F16" s="30">
        <f t="shared" ref="F16:I16" si="7">1/(1+$D$23)^F15</f>
        <v>0.81396792987167488</v>
      </c>
      <c r="G16" s="30">
        <f t="shared" si="7"/>
        <v>0.70959763093846695</v>
      </c>
      <c r="H16" s="30">
        <f t="shared" si="7"/>
        <v>0.61861011884444639</v>
      </c>
      <c r="I16" s="30">
        <f t="shared" si="7"/>
        <v>0.53928939789530406</v>
      </c>
      <c r="J16" t="s">
        <v>108</v>
      </c>
    </row>
    <row r="18" spans="2:9" ht="16" thickBot="1" x14ac:dyDescent="0.25">
      <c r="B18" s="83" t="s">
        <v>277</v>
      </c>
      <c r="C18" s="83"/>
      <c r="D18" s="83"/>
      <c r="E18" s="84">
        <f>E13*E16</f>
        <v>-3255.1701443640968</v>
      </c>
      <c r="F18" s="84">
        <f t="shared" ref="F18:I18" si="8">F13*F16</f>
        <v>-2101.3437713154049</v>
      </c>
      <c r="G18" s="84">
        <f t="shared" si="8"/>
        <v>-1165.7135518225516</v>
      </c>
      <c r="H18" s="84">
        <f t="shared" si="8"/>
        <v>-401.04966186911258</v>
      </c>
      <c r="I18" s="84">
        <f t="shared" si="8"/>
        <v>317.04768741592756</v>
      </c>
    </row>
    <row r="19" spans="2:9" ht="16" thickTop="1" x14ac:dyDescent="0.2"/>
    <row r="21" spans="2:9" x14ac:dyDescent="0.2">
      <c r="B21" t="s">
        <v>278</v>
      </c>
      <c r="D21" s="21">
        <v>0.20749999999999999</v>
      </c>
    </row>
    <row r="22" spans="2:9" x14ac:dyDescent="0.2">
      <c r="B22" t="s">
        <v>279</v>
      </c>
      <c r="D22" s="21">
        <v>5.3800000000000001E-2</v>
      </c>
    </row>
    <row r="23" spans="2:9" x14ac:dyDescent="0.2">
      <c r="B23" t="s">
        <v>280</v>
      </c>
      <c r="D23" s="21">
        <f>WACC!L39</f>
        <v>0.14708377590716401</v>
      </c>
    </row>
    <row r="24" spans="2:9" x14ac:dyDescent="0.2">
      <c r="D24" t="s">
        <v>108</v>
      </c>
    </row>
    <row r="26" spans="2:9" x14ac:dyDescent="0.2">
      <c r="B26" s="72" t="s">
        <v>281</v>
      </c>
      <c r="C26" s="17"/>
    </row>
    <row r="28" spans="2:9" x14ac:dyDescent="0.2">
      <c r="B28" t="s">
        <v>282</v>
      </c>
      <c r="C28" s="30">
        <f>I13*(1+D21)</f>
        <v>709.88801939891823</v>
      </c>
    </row>
    <row r="29" spans="2:9" x14ac:dyDescent="0.2">
      <c r="B29" t="s">
        <v>280</v>
      </c>
      <c r="C29" s="21">
        <f>D23</f>
        <v>0.14708377590716401</v>
      </c>
    </row>
    <row r="30" spans="2:9" x14ac:dyDescent="0.2">
      <c r="B30" t="s">
        <v>283</v>
      </c>
      <c r="C30" s="21">
        <f>D22</f>
        <v>5.3800000000000001E-2</v>
      </c>
    </row>
    <row r="32" spans="2:9" ht="16" thickBot="1" x14ac:dyDescent="0.25">
      <c r="B32" s="85" t="s">
        <v>284</v>
      </c>
      <c r="C32" s="85">
        <f>C28/(C29-C30)</f>
        <v>7609.983756504439</v>
      </c>
    </row>
    <row r="33" spans="2:3" ht="16" thickTop="1" x14ac:dyDescent="0.2"/>
    <row r="35" spans="2:3" x14ac:dyDescent="0.2">
      <c r="B35" s="72" t="s">
        <v>285</v>
      </c>
      <c r="C35" s="17"/>
    </row>
    <row r="37" spans="2:3" x14ac:dyDescent="0.2">
      <c r="B37" t="s">
        <v>277</v>
      </c>
      <c r="C37" s="30">
        <f>SUM(E18:I18)</f>
        <v>-6606.2294419552372</v>
      </c>
    </row>
    <row r="38" spans="2:3" x14ac:dyDescent="0.2">
      <c r="B38" t="s">
        <v>286</v>
      </c>
      <c r="C38" s="30">
        <f>C32*I16</f>
        <v>4103.9835580383233</v>
      </c>
    </row>
    <row r="39" spans="2:3" x14ac:dyDescent="0.2">
      <c r="B39" s="12" t="s">
        <v>287</v>
      </c>
      <c r="C39" s="75">
        <f>SUM(C37:C38)</f>
        <v>-2502.245883916914</v>
      </c>
    </row>
    <row r="41" spans="2:3" x14ac:dyDescent="0.2">
      <c r="B41" t="s">
        <v>288</v>
      </c>
      <c r="C41">
        <f>'Data Sheet'!K69</f>
        <v>40669.19</v>
      </c>
    </row>
    <row r="42" spans="2:3" x14ac:dyDescent="0.2">
      <c r="B42" t="s">
        <v>289</v>
      </c>
      <c r="C42" s="15">
        <f>SUM(RawFS!J14:J15)</f>
        <v>139677</v>
      </c>
    </row>
    <row r="43" spans="2:3" x14ac:dyDescent="0.2">
      <c r="B43" s="12" t="s">
        <v>290</v>
      </c>
      <c r="C43" s="71">
        <f>C39+C41-C42</f>
        <v>-101510.05588391691</v>
      </c>
    </row>
    <row r="44" spans="2:3" x14ac:dyDescent="0.2">
      <c r="B44" t="s">
        <v>291</v>
      </c>
      <c r="C44" s="86">
        <f>'Data Sheet'!B6</f>
        <v>358.58908869987852</v>
      </c>
    </row>
    <row r="45" spans="2:3" ht="16" thickBot="1" x14ac:dyDescent="0.25">
      <c r="B45" s="87" t="s">
        <v>292</v>
      </c>
      <c r="C45" s="88">
        <f>C43/C44</f>
        <v>-283.08183121789256</v>
      </c>
    </row>
    <row r="46" spans="2:3" ht="16" thickTop="1" x14ac:dyDescent="0.2"/>
    <row r="48" spans="2:3" x14ac:dyDescent="0.2">
      <c r="B48" t="s">
        <v>293</v>
      </c>
      <c r="C48">
        <v>473.6</v>
      </c>
    </row>
    <row r="49" spans="2:3" x14ac:dyDescent="0.2">
      <c r="B49" t="s">
        <v>294</v>
      </c>
      <c r="C49" s="89">
        <f>C48/C45</f>
        <v>-1.6730144706300936</v>
      </c>
    </row>
  </sheetData>
  <pageMargins left="0.7" right="0.7" top="0.75" bottom="0.75" header="0.3" footer="0.3"/>
  <ignoredErrors>
    <ignoredError sqref="C4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1"/>
  <sheetViews>
    <sheetView workbookViewId="0">
      <selection activeCell="F22" sqref="F2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3DFD-BC79-184D-8F16-106247BC61DE}">
  <dimension ref="A2:N106"/>
  <sheetViews>
    <sheetView showGridLines="0"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67" sqref="M67"/>
    </sheetView>
  </sheetViews>
  <sheetFormatPr baseColWidth="10" defaultRowHeight="15" x14ac:dyDescent="0.2"/>
  <cols>
    <col min="1" max="1" width="2" customWidth="1"/>
    <col min="2" max="2" width="25" customWidth="1"/>
    <col min="3" max="3" width="11.5" bestFit="1" customWidth="1"/>
  </cols>
  <sheetData>
    <row r="2" spans="1:14" x14ac:dyDescent="0.2">
      <c r="B2" s="91" t="str">
        <f>"Historical Financial Statement"&amp;"-"&amp;'Data Sheet'!B1</f>
        <v>Historical Financial Statement-TATA MOTORS LTD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4" x14ac:dyDescent="0.2">
      <c r="B3" s="17" t="s">
        <v>56</v>
      </c>
      <c r="C3" s="18">
        <f>'Data Sheet'!B16</f>
        <v>41364</v>
      </c>
      <c r="D3" s="18">
        <f>'Data Sheet'!C16</f>
        <v>41729</v>
      </c>
      <c r="E3" s="18">
        <f>'Data Sheet'!D16</f>
        <v>42094</v>
      </c>
      <c r="F3" s="18">
        <f>'Data Sheet'!E16</f>
        <v>42460</v>
      </c>
      <c r="G3" s="18">
        <f>'Data Sheet'!F16</f>
        <v>42825</v>
      </c>
      <c r="H3" s="18">
        <f>'Data Sheet'!G16</f>
        <v>43190</v>
      </c>
      <c r="I3" s="18">
        <f>'Data Sheet'!H16</f>
        <v>43555</v>
      </c>
      <c r="J3" s="18">
        <f>'Data Sheet'!I16</f>
        <v>43921</v>
      </c>
      <c r="K3" s="18">
        <f>'Data Sheet'!J16</f>
        <v>44286</v>
      </c>
      <c r="L3" s="18">
        <f>'Data Sheet'!K16</f>
        <v>44651</v>
      </c>
      <c r="M3" s="19" t="s">
        <v>57</v>
      </c>
    </row>
    <row r="4" spans="1:14" x14ac:dyDescent="0.2">
      <c r="A4" s="25" t="s">
        <v>59</v>
      </c>
      <c r="B4" s="26" t="s">
        <v>58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4" x14ac:dyDescent="0.2">
      <c r="B5" t="s">
        <v>12</v>
      </c>
      <c r="C5" s="20">
        <f>IFERROR('Data Sheet'!B17,0)</f>
        <v>188792.69</v>
      </c>
      <c r="D5" s="20">
        <f>IFERROR('Data Sheet'!C17,0)</f>
        <v>232833.66</v>
      </c>
      <c r="E5" s="20">
        <f>IFERROR('Data Sheet'!D17,0)</f>
        <v>263158.98</v>
      </c>
      <c r="F5" s="20">
        <f>IFERROR('Data Sheet'!E17,0)</f>
        <v>273045.59999999998</v>
      </c>
      <c r="G5" s="20">
        <f>IFERROR('Data Sheet'!F17,0)</f>
        <v>269692.51</v>
      </c>
      <c r="H5" s="20">
        <f>IFERROR('Data Sheet'!G17,0)</f>
        <v>291550.48</v>
      </c>
      <c r="I5" s="20">
        <f>IFERROR('Data Sheet'!H17,0)</f>
        <v>301938.40000000002</v>
      </c>
      <c r="J5" s="20">
        <f>IFERROR('Data Sheet'!I17,0)</f>
        <v>261067.97</v>
      </c>
      <c r="K5" s="20">
        <f>IFERROR('Data Sheet'!J17,0)</f>
        <v>249794.75</v>
      </c>
      <c r="L5" s="20">
        <f>IFERROR('Data Sheet'!K17,0)</f>
        <v>278453.62</v>
      </c>
      <c r="M5" s="20">
        <f>IFERROR(SUM('Data Sheet'!H42:K42),0)</f>
        <v>302214.38</v>
      </c>
      <c r="N5" s="20"/>
    </row>
    <row r="6" spans="1:14" x14ac:dyDescent="0.2">
      <c r="A6" s="13"/>
      <c r="B6" s="13" t="s">
        <v>60</v>
      </c>
      <c r="C6" s="14" t="s">
        <v>61</v>
      </c>
      <c r="D6" s="22">
        <f t="shared" ref="D6:M6" si="0">D5/C5-1</f>
        <v>0.23327688164197458</v>
      </c>
      <c r="E6" s="22">
        <f t="shared" si="0"/>
        <v>0.13024457030826198</v>
      </c>
      <c r="F6" s="22">
        <f t="shared" si="0"/>
        <v>3.75690010654397E-2</v>
      </c>
      <c r="G6" s="22">
        <f t="shared" si="0"/>
        <v>-1.2280329732469508E-2</v>
      </c>
      <c r="H6" s="22">
        <f t="shared" si="0"/>
        <v>8.104774581985974E-2</v>
      </c>
      <c r="I6" s="22">
        <f t="shared" si="0"/>
        <v>3.5629919045237157E-2</v>
      </c>
      <c r="J6" s="22">
        <f t="shared" si="0"/>
        <v>-0.135360159555724</v>
      </c>
      <c r="K6" s="22">
        <f t="shared" si="0"/>
        <v>-4.3181168490336042E-2</v>
      </c>
      <c r="L6" s="22">
        <f t="shared" si="0"/>
        <v>0.11472967306158344</v>
      </c>
      <c r="M6" s="22">
        <f t="shared" si="0"/>
        <v>8.5331122648001578E-2</v>
      </c>
    </row>
    <row r="8" spans="1:14" x14ac:dyDescent="0.2">
      <c r="B8" t="s">
        <v>62</v>
      </c>
      <c r="C8" s="20">
        <f>IFERROR((SUM('Data Sheet'!B18,'Data Sheet'!B20,'Data Sheet'!B21,'Data Sheet'!B22)-1*'Data Sheet'!B19),0)</f>
        <v>142238.74</v>
      </c>
      <c r="D8" s="20">
        <f>IFERROR((SUM('Data Sheet'!C18,'Data Sheet'!C20,'Data Sheet'!C21,'Data Sheet'!C22)-1*'Data Sheet'!C19),0)</f>
        <v>180131.06000000003</v>
      </c>
      <c r="E8" s="20">
        <f>IFERROR((SUM('Data Sheet'!D18,'Data Sheet'!D20,'Data Sheet'!D21,'Data Sheet'!D22)-1*'Data Sheet'!D19),0)</f>
        <v>202856.88</v>
      </c>
      <c r="F8" s="20">
        <f>IFERROR((SUM('Data Sheet'!E18,'Data Sheet'!E20,'Data Sheet'!E21,'Data Sheet'!E22)-1*'Data Sheet'!E19),0)</f>
        <v>205509.07</v>
      </c>
      <c r="G8" s="20">
        <f>IFERROR((SUM('Data Sheet'!F18,'Data Sheet'!F20,'Data Sheet'!F21,'Data Sheet'!F22)-1*'Data Sheet'!F19),0)</f>
        <v>205454.23999999996</v>
      </c>
      <c r="H8" s="20">
        <f>IFERROR((SUM('Data Sheet'!G18,'Data Sheet'!G20,'Data Sheet'!G21,'Data Sheet'!G22)-1*'Data Sheet'!G19),0)</f>
        <v>228429.83</v>
      </c>
      <c r="I8" s="20">
        <f>IFERROR((SUM('Data Sheet'!H18,'Data Sheet'!H20,'Data Sheet'!H21,'Data Sheet'!H22)-1*'Data Sheet'!H19),0)</f>
        <v>242845.53</v>
      </c>
      <c r="J8" s="20">
        <f>IFERROR((SUM('Data Sheet'!I18,'Data Sheet'!I20,'Data Sheet'!I21,'Data Sheet'!I22)-1*'Data Sheet'!I19),0)</f>
        <v>210376.07000000004</v>
      </c>
      <c r="K8" s="20">
        <f>IFERROR((SUM('Data Sheet'!J18,'Data Sheet'!J20,'Data Sheet'!J21,'Data Sheet'!J22)-1*'Data Sheet'!J19),0)</f>
        <v>195326.04</v>
      </c>
      <c r="L8" s="20">
        <f>IFERROR((SUM('Data Sheet'!K18,'Data Sheet'!K20,'Data Sheet'!K21,'Data Sheet'!K22)-1*'Data Sheet'!K19),0)</f>
        <v>223300.00999999998</v>
      </c>
      <c r="M8">
        <f>IFERROR(SUM('Data Sheet'!H43:K43),0)</f>
        <v>278868.53000000003</v>
      </c>
    </row>
    <row r="9" spans="1:14" x14ac:dyDescent="0.2">
      <c r="B9" s="13" t="s">
        <v>63</v>
      </c>
      <c r="C9" s="24">
        <f>C8/C5</f>
        <v>0.75341232756416565</v>
      </c>
      <c r="D9" s="22">
        <f t="shared" ref="D9:M9" si="1">D8/D5</f>
        <v>0.77364698901353024</v>
      </c>
      <c r="E9" s="22">
        <f t="shared" si="1"/>
        <v>0.77085296500237244</v>
      </c>
      <c r="F9" s="22">
        <f t="shared" si="1"/>
        <v>0.75265475803309057</v>
      </c>
      <c r="G9" s="22">
        <f t="shared" si="1"/>
        <v>0.76180921746770036</v>
      </c>
      <c r="H9" s="22">
        <f t="shared" si="1"/>
        <v>0.78350009919380004</v>
      </c>
      <c r="I9" s="22">
        <f t="shared" si="1"/>
        <v>0.80428832503583503</v>
      </c>
      <c r="J9" s="22">
        <f t="shared" si="1"/>
        <v>0.80582872728508226</v>
      </c>
      <c r="K9" s="22">
        <f t="shared" si="1"/>
        <v>0.7819461377791167</v>
      </c>
      <c r="L9" s="22">
        <f t="shared" si="1"/>
        <v>0.80192891728252624</v>
      </c>
      <c r="M9" s="22">
        <f t="shared" si="1"/>
        <v>0.92275069770008966</v>
      </c>
    </row>
    <row r="11" spans="1:14" x14ac:dyDescent="0.2">
      <c r="B11" t="s">
        <v>64</v>
      </c>
      <c r="C11" s="23">
        <f>C5-C8</f>
        <v>46553.950000000012</v>
      </c>
      <c r="D11" s="23">
        <f t="shared" ref="D11:M11" si="2">D5-D8</f>
        <v>52702.599999999977</v>
      </c>
      <c r="E11" s="23">
        <f t="shared" si="2"/>
        <v>60302.099999999977</v>
      </c>
      <c r="F11" s="23">
        <f t="shared" si="2"/>
        <v>67536.52999999997</v>
      </c>
      <c r="G11" s="23">
        <f t="shared" si="2"/>
        <v>64238.270000000048</v>
      </c>
      <c r="H11" s="23">
        <f t="shared" si="2"/>
        <v>63120.649999999994</v>
      </c>
      <c r="I11" s="23">
        <f t="shared" si="2"/>
        <v>59092.870000000024</v>
      </c>
      <c r="J11" s="23">
        <f t="shared" si="2"/>
        <v>50691.899999999965</v>
      </c>
      <c r="K11" s="23">
        <f t="shared" si="2"/>
        <v>54468.709999999992</v>
      </c>
      <c r="L11" s="23">
        <f t="shared" si="2"/>
        <v>55153.610000000015</v>
      </c>
      <c r="M11" s="23">
        <f t="shared" si="2"/>
        <v>23345.849999999977</v>
      </c>
    </row>
    <row r="13" spans="1:14" x14ac:dyDescent="0.2">
      <c r="B13" t="s">
        <v>109</v>
      </c>
      <c r="C13" s="23">
        <f>IFERROR(SUM('Data Sheet'!B23:B24),0)</f>
        <v>21957.97</v>
      </c>
      <c r="D13" s="23">
        <f>IFERROR(SUM('Data Sheet'!C23:C24),0)</f>
        <v>17849.240000000002</v>
      </c>
      <c r="E13" s="23">
        <f>IFERROR(SUM('Data Sheet'!D23:D24),0)</f>
        <v>21063.449999999997</v>
      </c>
      <c r="F13" s="23">
        <f>IFERROR(SUM('Data Sheet'!E23:E24),0)</f>
        <v>29141.280000000002</v>
      </c>
      <c r="G13" s="23">
        <f>IFERROR(SUM('Data Sheet'!F23:F24),0)</f>
        <v>34649.58</v>
      </c>
      <c r="H13" s="23">
        <f>IFERROR(SUM('Data Sheet'!G23:G24),0)</f>
        <v>31662.97</v>
      </c>
      <c r="I13" s="23">
        <f>IFERROR(SUM('Data Sheet'!H23:H24),0)</f>
        <v>34428.54</v>
      </c>
      <c r="J13" s="23">
        <f>IFERROR(SUM('Data Sheet'!I23:I24),0)</f>
        <v>32704.83</v>
      </c>
      <c r="K13" s="23">
        <f>IFERROR(SUM('Data Sheet'!J23:J24),0)</f>
        <v>22181.280000000002</v>
      </c>
      <c r="L13" s="23">
        <f>IFERROR(SUM('Data Sheet'!K23:K24),0)</f>
        <v>30433.52</v>
      </c>
      <c r="M13" s="23">
        <f>IFERROR(SUM('Data Sheet'!L23:L24),0)</f>
        <v>0</v>
      </c>
    </row>
    <row r="14" spans="1:14" x14ac:dyDescent="0.2">
      <c r="B14" s="13" t="s">
        <v>110</v>
      </c>
      <c r="C14" s="24">
        <f>C13/C5</f>
        <v>0.11630731041546154</v>
      </c>
      <c r="D14" s="24">
        <f t="shared" ref="D14:M14" si="3">D13/D5</f>
        <v>7.6660908908102038E-2</v>
      </c>
      <c r="E14" s="24">
        <f t="shared" si="3"/>
        <v>8.0040779911823637E-2</v>
      </c>
      <c r="F14" s="24">
        <f t="shared" si="3"/>
        <v>0.10672678849247161</v>
      </c>
      <c r="G14" s="24">
        <f t="shared" si="3"/>
        <v>0.12847809529452636</v>
      </c>
      <c r="H14" s="24">
        <f t="shared" si="3"/>
        <v>0.10860201636437025</v>
      </c>
      <c r="I14" s="24">
        <f t="shared" si="3"/>
        <v>0.11402504616835751</v>
      </c>
      <c r="J14" s="24">
        <f t="shared" si="3"/>
        <v>0.12527323822987554</v>
      </c>
      <c r="K14" s="24">
        <f t="shared" si="3"/>
        <v>8.8798023177028354E-2</v>
      </c>
      <c r="L14" s="24">
        <f t="shared" si="3"/>
        <v>0.10929475436519734</v>
      </c>
      <c r="M14" s="24">
        <f t="shared" si="3"/>
        <v>0</v>
      </c>
    </row>
    <row r="16" spans="1:14" x14ac:dyDescent="0.2">
      <c r="B16" t="s">
        <v>28</v>
      </c>
      <c r="C16" s="23">
        <f>C11-C13</f>
        <v>24595.98000000001</v>
      </c>
      <c r="D16" s="23">
        <f t="shared" ref="D16:L16" si="4">D11-D13</f>
        <v>34853.359999999971</v>
      </c>
      <c r="E16" s="23">
        <f t="shared" si="4"/>
        <v>39238.64999999998</v>
      </c>
      <c r="F16" s="23">
        <f t="shared" si="4"/>
        <v>38395.249999999971</v>
      </c>
      <c r="G16" s="23">
        <f t="shared" si="4"/>
        <v>29588.690000000046</v>
      </c>
      <c r="H16" s="23">
        <f t="shared" si="4"/>
        <v>31457.679999999993</v>
      </c>
      <c r="I16" s="23">
        <f t="shared" si="4"/>
        <v>24664.330000000024</v>
      </c>
      <c r="J16" s="23">
        <f t="shared" si="4"/>
        <v>17987.069999999963</v>
      </c>
      <c r="K16" s="23">
        <f t="shared" si="4"/>
        <v>32287.429999999989</v>
      </c>
      <c r="L16" s="23">
        <f t="shared" si="4"/>
        <v>24720.090000000015</v>
      </c>
      <c r="M16" s="23">
        <f>IFERROR(SUM('Data Sheet'!H51:K51),0)</f>
        <v>27983.82</v>
      </c>
    </row>
    <row r="17" spans="2:13" x14ac:dyDescent="0.2">
      <c r="B17" s="13" t="s">
        <v>111</v>
      </c>
      <c r="C17" s="22">
        <f>C16/C5</f>
        <v>0.13028036202037277</v>
      </c>
      <c r="D17" s="22">
        <f t="shared" ref="D17:M17" si="5">D16/D5</f>
        <v>0.14969210207836775</v>
      </c>
      <c r="E17" s="22">
        <f t="shared" si="5"/>
        <v>0.14910625508580397</v>
      </c>
      <c r="F17" s="22">
        <f t="shared" si="5"/>
        <v>0.14061845347443788</v>
      </c>
      <c r="G17" s="22">
        <f t="shared" si="5"/>
        <v>0.10971268723777329</v>
      </c>
      <c r="H17" s="22">
        <f t="shared" si="5"/>
        <v>0.10789788444182975</v>
      </c>
      <c r="I17" s="22">
        <f t="shared" si="5"/>
        <v>8.1686628795807431E-2</v>
      </c>
      <c r="J17" s="22">
        <f t="shared" si="5"/>
        <v>6.8898034485042198E-2</v>
      </c>
      <c r="K17" s="22">
        <f t="shared" si="5"/>
        <v>0.12925583904385496</v>
      </c>
      <c r="L17" s="22">
        <f t="shared" si="5"/>
        <v>8.877632835227646E-2</v>
      </c>
      <c r="M17" s="22">
        <f t="shared" si="5"/>
        <v>9.2595924786901276E-2</v>
      </c>
    </row>
    <row r="19" spans="2:13" x14ac:dyDescent="0.2">
      <c r="B19" t="s">
        <v>22</v>
      </c>
      <c r="C19" s="23">
        <f>IFERROR('Data Sheet'!B27,0)</f>
        <v>3560.25</v>
      </c>
      <c r="D19" s="23">
        <f>IFERROR('Data Sheet'!C27,0)</f>
        <v>4749.4399999999996</v>
      </c>
      <c r="E19" s="23">
        <f>IFERROR('Data Sheet'!D27,0)</f>
        <v>4861.49</v>
      </c>
      <c r="F19" s="23">
        <f>IFERROR('Data Sheet'!E27,0)</f>
        <v>4889.08</v>
      </c>
      <c r="G19" s="23">
        <f>IFERROR('Data Sheet'!F27,0)</f>
        <v>4238.01</v>
      </c>
      <c r="H19" s="23">
        <f>IFERROR('Data Sheet'!G27,0)</f>
        <v>4681.79</v>
      </c>
      <c r="I19" s="23">
        <f>IFERROR('Data Sheet'!H27,0)</f>
        <v>5758.6</v>
      </c>
      <c r="J19" s="23">
        <f>IFERROR('Data Sheet'!I27,0)</f>
        <v>7243.33</v>
      </c>
      <c r="K19" s="23">
        <f>IFERROR('Data Sheet'!J27,0)</f>
        <v>8097.17</v>
      </c>
      <c r="L19" s="23">
        <f>IFERROR('Data Sheet'!K27,0)</f>
        <v>9311.86</v>
      </c>
      <c r="M19" s="23">
        <f>IFERROR(SUM('Data Sheet'!H46:K46),0)</f>
        <v>9689.24</v>
      </c>
    </row>
    <row r="20" spans="2:13" x14ac:dyDescent="0.2">
      <c r="B20" s="13" t="s">
        <v>65</v>
      </c>
      <c r="C20" s="22">
        <f>C19/C5</f>
        <v>1.8857986503608801E-2</v>
      </c>
      <c r="D20" s="22">
        <f t="shared" ref="D20:M20" si="6">D19/D5</f>
        <v>2.0398425210512945E-2</v>
      </c>
      <c r="E20" s="22">
        <f t="shared" si="6"/>
        <v>1.8473585814932098E-2</v>
      </c>
      <c r="F20" s="22">
        <f t="shared" si="6"/>
        <v>1.7905727101993223E-2</v>
      </c>
      <c r="G20" s="22">
        <f t="shared" si="6"/>
        <v>1.5714229512714312E-2</v>
      </c>
      <c r="H20" s="22">
        <f t="shared" si="6"/>
        <v>1.605824830060304E-2</v>
      </c>
      <c r="I20" s="22">
        <f t="shared" si="6"/>
        <v>1.9072102124141878E-2</v>
      </c>
      <c r="J20" s="22">
        <f t="shared" si="6"/>
        <v>2.7744996829752802E-2</v>
      </c>
      <c r="K20" s="22">
        <f t="shared" si="6"/>
        <v>3.2415292955516477E-2</v>
      </c>
      <c r="L20" s="22">
        <f t="shared" si="6"/>
        <v>3.3441332168710897E-2</v>
      </c>
      <c r="M20" s="22">
        <f t="shared" si="6"/>
        <v>3.2060817225176376E-2</v>
      </c>
    </row>
    <row r="22" spans="2:13" x14ac:dyDescent="0.2">
      <c r="B22" t="s">
        <v>21</v>
      </c>
      <c r="C22" s="23">
        <f>IFERROR('Data Sheet'!B26,0)</f>
        <v>7601.28</v>
      </c>
      <c r="D22" s="23">
        <f>IFERROR('Data Sheet'!C26,0)</f>
        <v>11078.16</v>
      </c>
      <c r="E22" s="23">
        <f>IFERROR('Data Sheet'!D26,0)</f>
        <v>13388.63</v>
      </c>
      <c r="F22" s="23">
        <f>IFERROR('Data Sheet'!E26,0)</f>
        <v>16710.78</v>
      </c>
      <c r="G22" s="23">
        <f>IFERROR('Data Sheet'!F26,0)</f>
        <v>17904.990000000002</v>
      </c>
      <c r="H22" s="23">
        <f>IFERROR('Data Sheet'!G26,0)</f>
        <v>21553.59</v>
      </c>
      <c r="I22" s="23">
        <f>IFERROR('Data Sheet'!H26,0)</f>
        <v>23590.63</v>
      </c>
      <c r="J22" s="23">
        <f>IFERROR('Data Sheet'!I26,0)</f>
        <v>21425.43</v>
      </c>
      <c r="K22" s="23">
        <f>IFERROR('Data Sheet'!J26,0)</f>
        <v>23546.71</v>
      </c>
      <c r="L22" s="23">
        <f>IFERROR('Data Sheet'!K26,0)</f>
        <v>24835.69</v>
      </c>
      <c r="M22" s="23">
        <f>IFERROR(SUM('Data Sheet'!H45:K45),0)</f>
        <v>24248.62</v>
      </c>
    </row>
    <row r="23" spans="2:13" x14ac:dyDescent="0.2">
      <c r="B23" s="13" t="s">
        <v>112</v>
      </c>
      <c r="C23" s="22">
        <f>C22/C5</f>
        <v>4.0262575844435503E-2</v>
      </c>
      <c r="D23" s="22">
        <f t="shared" ref="D23:M23" si="7">D22/D5</f>
        <v>4.757971849946438E-2</v>
      </c>
      <c r="E23" s="22">
        <f t="shared" si="7"/>
        <v>5.0876584184966822E-2</v>
      </c>
      <c r="F23" s="22">
        <f t="shared" si="7"/>
        <v>6.1201425695927715E-2</v>
      </c>
      <c r="G23" s="22">
        <f t="shared" si="7"/>
        <v>6.63903865924938E-2</v>
      </c>
      <c r="H23" s="22">
        <f t="shared" si="7"/>
        <v>7.3927472182518786E-2</v>
      </c>
      <c r="I23" s="22">
        <f t="shared" si="7"/>
        <v>7.8130605447998658E-2</v>
      </c>
      <c r="J23" s="22">
        <f t="shared" si="7"/>
        <v>8.206839774331566E-2</v>
      </c>
      <c r="K23" s="22">
        <f t="shared" si="7"/>
        <v>9.4264230933596482E-2</v>
      </c>
      <c r="L23" s="22">
        <f t="shared" si="7"/>
        <v>8.9191478279219347E-2</v>
      </c>
      <c r="M23" s="22">
        <f t="shared" si="7"/>
        <v>8.0236486430592738E-2</v>
      </c>
    </row>
    <row r="25" spans="2:13" x14ac:dyDescent="0.2">
      <c r="B25" t="s">
        <v>113</v>
      </c>
      <c r="C25" s="23">
        <f>IFERROR(C16-SUM(C19,C22),0)</f>
        <v>13434.450000000012</v>
      </c>
      <c r="D25" s="23">
        <f t="shared" ref="D25:M25" si="8">IFERROR(D16-SUM(D19,D22),0)</f>
        <v>19025.759999999973</v>
      </c>
      <c r="E25" s="23">
        <f t="shared" si="8"/>
        <v>20988.529999999981</v>
      </c>
      <c r="F25" s="23">
        <f t="shared" si="8"/>
        <v>16795.38999999997</v>
      </c>
      <c r="G25" s="23">
        <f t="shared" si="8"/>
        <v>7445.690000000046</v>
      </c>
      <c r="H25" s="23">
        <f t="shared" si="8"/>
        <v>5222.299999999992</v>
      </c>
      <c r="I25" s="23">
        <f t="shared" si="8"/>
        <v>-4684.8999999999796</v>
      </c>
      <c r="J25" s="23">
        <f t="shared" si="8"/>
        <v>-10681.690000000039</v>
      </c>
      <c r="K25" s="23">
        <f t="shared" si="8"/>
        <v>643.549999999992</v>
      </c>
      <c r="L25" s="23">
        <f t="shared" si="8"/>
        <v>-9427.4599999999882</v>
      </c>
      <c r="M25" s="23">
        <f t="shared" si="8"/>
        <v>-5954.0400000000009</v>
      </c>
    </row>
    <row r="26" spans="2:13" x14ac:dyDescent="0.2">
      <c r="B26" s="13" t="s">
        <v>114</v>
      </c>
      <c r="C26" s="22">
        <f>C25/C5</f>
        <v>7.115979967232848E-2</v>
      </c>
      <c r="D26" s="22">
        <f t="shared" ref="D26:M26" si="9">D25/D5</f>
        <v>8.1713958368390432E-2</v>
      </c>
      <c r="E26" s="22">
        <f t="shared" si="9"/>
        <v>7.9756085085905037E-2</v>
      </c>
      <c r="F26" s="22">
        <f t="shared" si="9"/>
        <v>6.1511300676516931E-2</v>
      </c>
      <c r="G26" s="22">
        <f t="shared" si="9"/>
        <v>2.7608071132565179E-2</v>
      </c>
      <c r="H26" s="22">
        <f t="shared" si="9"/>
        <v>1.7912163958707913E-2</v>
      </c>
      <c r="I26" s="22">
        <f t="shared" si="9"/>
        <v>-1.5516078776333117E-2</v>
      </c>
      <c r="J26" s="22">
        <f t="shared" si="9"/>
        <v>-4.0915360088026265E-2</v>
      </c>
      <c r="K26" s="22">
        <f t="shared" si="9"/>
        <v>2.5763151547420113E-3</v>
      </c>
      <c r="L26" s="22">
        <f t="shared" si="9"/>
        <v>-3.3856482095653805E-2</v>
      </c>
      <c r="M26" s="22">
        <f t="shared" si="9"/>
        <v>-1.9701378868867858E-2</v>
      </c>
    </row>
    <row r="28" spans="2:13" x14ac:dyDescent="0.2">
      <c r="B28" t="s">
        <v>115</v>
      </c>
      <c r="C28" s="23">
        <f>IFERROR('Data Sheet'!B29,0)</f>
        <v>3776.66</v>
      </c>
      <c r="D28" s="23">
        <f>IFERROR('Data Sheet'!C29,0)</f>
        <v>4764.79</v>
      </c>
      <c r="E28" s="23">
        <f>IFERROR('Data Sheet'!D29,0)</f>
        <v>7642.91</v>
      </c>
      <c r="F28" s="23">
        <f>IFERROR('Data Sheet'!E29,0)</f>
        <v>3025.05</v>
      </c>
      <c r="G28" s="23">
        <f>IFERROR('Data Sheet'!F29,0)</f>
        <v>3251.23</v>
      </c>
      <c r="H28" s="23">
        <f>IFERROR('Data Sheet'!G29,0)</f>
        <v>4341.93</v>
      </c>
      <c r="I28" s="23">
        <f>IFERROR('Data Sheet'!H29,0)</f>
        <v>-2437.4499999999998</v>
      </c>
      <c r="J28" s="23">
        <f>IFERROR('Data Sheet'!I29,0)</f>
        <v>395.25</v>
      </c>
      <c r="K28" s="23">
        <f>IFERROR('Data Sheet'!J29,0)</f>
        <v>2541.86</v>
      </c>
      <c r="L28" s="23">
        <f>IFERROR('Data Sheet'!K29,0)</f>
        <v>4231.29</v>
      </c>
      <c r="M28" s="23">
        <f>IFERROR(SUM('Data Sheet'!H48:K48),0)</f>
        <v>2546.15</v>
      </c>
    </row>
    <row r="29" spans="2:13" x14ac:dyDescent="0.2">
      <c r="B29" s="13" t="s">
        <v>116</v>
      </c>
      <c r="C29" s="22">
        <f>C28/C25</f>
        <v>0.28111757459367498</v>
      </c>
      <c r="D29" s="22">
        <f t="shared" ref="D29:M29" si="10">D28/D25</f>
        <v>0.25043887865714731</v>
      </c>
      <c r="E29" s="22">
        <f t="shared" si="10"/>
        <v>0.3641469888553418</v>
      </c>
      <c r="F29" s="22">
        <f t="shared" si="10"/>
        <v>0.18011192356950362</v>
      </c>
      <c r="G29" s="22">
        <f t="shared" si="10"/>
        <v>0.43665932908836924</v>
      </c>
      <c r="H29" s="22">
        <f t="shared" si="10"/>
        <v>0.8314210213890445</v>
      </c>
      <c r="I29" s="22">
        <f t="shared" si="10"/>
        <v>0.52027791414971725</v>
      </c>
      <c r="J29" s="22">
        <f t="shared" si="10"/>
        <v>-3.7002571690434617E-2</v>
      </c>
      <c r="K29" s="22">
        <f t="shared" si="10"/>
        <v>3.9497474943672315</v>
      </c>
      <c r="L29" s="22">
        <f t="shared" si="10"/>
        <v>-0.4488260888935095</v>
      </c>
      <c r="M29" s="22">
        <f t="shared" si="10"/>
        <v>-0.42763400984877492</v>
      </c>
    </row>
    <row r="31" spans="2:13" x14ac:dyDescent="0.2">
      <c r="B31" t="s">
        <v>66</v>
      </c>
      <c r="C31" s="23">
        <f>C25-C28</f>
        <v>9657.7900000000118</v>
      </c>
      <c r="D31" s="23">
        <f t="shared" ref="D31:M31" si="11">D25-D28</f>
        <v>14260.969999999972</v>
      </c>
      <c r="E31" s="23">
        <f t="shared" si="11"/>
        <v>13345.619999999981</v>
      </c>
      <c r="F31" s="23">
        <f t="shared" si="11"/>
        <v>13770.339999999971</v>
      </c>
      <c r="G31" s="23">
        <f t="shared" si="11"/>
        <v>4194.4600000000464</v>
      </c>
      <c r="H31" s="23">
        <f t="shared" si="11"/>
        <v>880.36999999999171</v>
      </c>
      <c r="I31" s="23">
        <f t="shared" si="11"/>
        <v>-2247.4499999999798</v>
      </c>
      <c r="J31" s="23">
        <f t="shared" si="11"/>
        <v>-11076.940000000039</v>
      </c>
      <c r="K31" s="23">
        <f t="shared" si="11"/>
        <v>-1898.3100000000081</v>
      </c>
      <c r="L31" s="23">
        <f t="shared" si="11"/>
        <v>-13658.749999999989</v>
      </c>
      <c r="M31" s="23">
        <f t="shared" si="11"/>
        <v>-8500.19</v>
      </c>
    </row>
    <row r="32" spans="2:13" x14ac:dyDescent="0.2">
      <c r="B32" s="13" t="s">
        <v>117</v>
      </c>
      <c r="C32" s="22">
        <f>C31/C5</f>
        <v>5.1155529379871709E-2</v>
      </c>
      <c r="D32" s="22">
        <f t="shared" ref="D32:M32" si="12">D31/D5</f>
        <v>6.124960626397391E-2</v>
      </c>
      <c r="E32" s="22">
        <f t="shared" si="12"/>
        <v>5.0713146858982282E-2</v>
      </c>
      <c r="F32" s="22">
        <f t="shared" si="12"/>
        <v>5.0432381990407359E-2</v>
      </c>
      <c r="G32" s="22">
        <f t="shared" si="12"/>
        <v>1.5552749314395296E-2</v>
      </c>
      <c r="H32" s="22">
        <f t="shared" si="12"/>
        <v>3.01961430487095E-3</v>
      </c>
      <c r="I32" s="22">
        <f t="shared" si="12"/>
        <v>-7.4434056747998256E-3</v>
      </c>
      <c r="J32" s="22">
        <f t="shared" si="12"/>
        <v>-4.2429333632923408E-2</v>
      </c>
      <c r="K32" s="22">
        <f t="shared" si="12"/>
        <v>-7.5994791724005731E-3</v>
      </c>
      <c r="L32" s="22">
        <f t="shared" si="12"/>
        <v>-4.9052154538339235E-2</v>
      </c>
      <c r="M32" s="22">
        <f t="shared" si="12"/>
        <v>-2.812635851411174E-2</v>
      </c>
    </row>
    <row r="34" spans="1:13" x14ac:dyDescent="0.2">
      <c r="B34" t="s">
        <v>118</v>
      </c>
      <c r="C34">
        <f>IFERROR('Data Sheet'!B93,0)</f>
        <v>285.72000000000003</v>
      </c>
      <c r="D34">
        <f>IFERROR('Data Sheet'!C93,0)</f>
        <v>288.74</v>
      </c>
      <c r="E34">
        <f>IFERROR('Data Sheet'!D93,0)</f>
        <v>288.74</v>
      </c>
      <c r="F34">
        <f>IFERROR('Data Sheet'!E93,0)</f>
        <v>288.72000000000003</v>
      </c>
      <c r="G34">
        <f>IFERROR('Data Sheet'!F93,0)</f>
        <v>288.73</v>
      </c>
      <c r="H34">
        <f>IFERROR('Data Sheet'!G93,0)</f>
        <v>288.73</v>
      </c>
      <c r="I34">
        <f>IFERROR('Data Sheet'!H93,0)</f>
        <v>288.73</v>
      </c>
      <c r="J34">
        <f>IFERROR('Data Sheet'!I93,0)</f>
        <v>308.89999999999998</v>
      </c>
      <c r="K34">
        <f>IFERROR('Data Sheet'!J93,0)</f>
        <v>332.03</v>
      </c>
      <c r="L34">
        <f>IFERROR('Data Sheet'!K93,0)</f>
        <v>332.07</v>
      </c>
      <c r="M34" s="16" t="s">
        <v>61</v>
      </c>
    </row>
    <row r="36" spans="1:13" x14ac:dyDescent="0.2">
      <c r="B36" t="s">
        <v>119</v>
      </c>
      <c r="C36" s="20">
        <f>IFERROR(C31/C34,0)</f>
        <v>33.80158896822067</v>
      </c>
      <c r="D36" s="20">
        <f t="shared" ref="D36:M36" si="13">IFERROR(D31/D34,0)</f>
        <v>49.390351180993186</v>
      </c>
      <c r="E36" s="20">
        <f t="shared" si="13"/>
        <v>46.220198102098706</v>
      </c>
      <c r="F36" s="20">
        <f t="shared" si="13"/>
        <v>47.694444444444336</v>
      </c>
      <c r="G36" s="20">
        <f t="shared" si="13"/>
        <v>14.527274616423808</v>
      </c>
      <c r="H36" s="20">
        <f t="shared" si="13"/>
        <v>3.049111626779315</v>
      </c>
      <c r="I36" s="20">
        <f t="shared" si="13"/>
        <v>-7.7839157690575265</v>
      </c>
      <c r="J36" s="20">
        <f t="shared" si="13"/>
        <v>-35.859307219164904</v>
      </c>
      <c r="K36" s="20">
        <f t="shared" si="13"/>
        <v>-5.7172845827184542</v>
      </c>
      <c r="L36" s="20">
        <f t="shared" si="13"/>
        <v>-41.132140813683833</v>
      </c>
      <c r="M36" s="20">
        <f t="shared" si="13"/>
        <v>0</v>
      </c>
    </row>
    <row r="37" spans="1:13" x14ac:dyDescent="0.2">
      <c r="B37" s="13" t="s">
        <v>67</v>
      </c>
      <c r="C37" s="22"/>
      <c r="D37" s="22">
        <f>D36/C36-1</f>
        <v>0.46118430194002547</v>
      </c>
      <c r="E37" s="22">
        <f t="shared" ref="E37:M37" si="14">E36/D36-1</f>
        <v>-6.4185676009415493E-2</v>
      </c>
      <c r="F37" s="22">
        <f t="shared" si="14"/>
        <v>3.189614936502605E-2</v>
      </c>
      <c r="G37" s="22">
        <f t="shared" si="14"/>
        <v>-0.69540950134463697</v>
      </c>
      <c r="H37" s="22">
        <f t="shared" si="14"/>
        <v>-0.79011124197155724</v>
      </c>
      <c r="I37" s="22">
        <f t="shared" si="14"/>
        <v>-3.5528470983790919</v>
      </c>
      <c r="J37" s="22">
        <f t="shared" si="14"/>
        <v>3.6068467700681115</v>
      </c>
      <c r="K37" s="22">
        <f t="shared" si="14"/>
        <v>-0.84056344011958861</v>
      </c>
      <c r="L37" s="22">
        <f t="shared" si="14"/>
        <v>6.194349033807641</v>
      </c>
      <c r="M37" s="22">
        <f t="shared" si="14"/>
        <v>-1</v>
      </c>
    </row>
    <row r="39" spans="1:13" x14ac:dyDescent="0.2">
      <c r="B39" t="s">
        <v>120</v>
      </c>
      <c r="C39" s="20">
        <f>IFERROR('Data Sheet'!B31/'Historical Data'!C34,0)</f>
        <v>2.2332003359932799</v>
      </c>
      <c r="D39" s="20">
        <f>IFERROR('Data Sheet'!C31/'Historical Data'!D34,0)</f>
        <v>2.2296183417607534</v>
      </c>
      <c r="E39" s="20">
        <f>IFERROR('Data Sheet'!D31/'Historical Data'!E34,0)</f>
        <v>0</v>
      </c>
      <c r="F39" s="20">
        <f>IFERROR('Data Sheet'!E31/'Historical Data'!F34,0)</f>
        <v>0.23524522028262676</v>
      </c>
      <c r="G39" s="20">
        <f>IFERROR('Data Sheet'!F31/'Historical Data'!G34,0)</f>
        <v>0</v>
      </c>
      <c r="H39" s="20">
        <f>IFERROR('Data Sheet'!G31/'Historical Data'!H34,0)</f>
        <v>0</v>
      </c>
      <c r="I39" s="20">
        <f>IFERROR('Data Sheet'!H31/'Historical Data'!I34,0)</f>
        <v>0</v>
      </c>
      <c r="J39" s="20">
        <f>IFERROR('Data Sheet'!I31/'Historical Data'!J34,0)</f>
        <v>0</v>
      </c>
      <c r="K39" s="20">
        <f>IFERROR('Data Sheet'!J31/'Historical Data'!K34,0)</f>
        <v>0</v>
      </c>
      <c r="L39" s="20">
        <f>IFERROR('Data Sheet'!K31/'Historical Data'!L34,0)</f>
        <v>0</v>
      </c>
      <c r="M39" s="20">
        <f>IFERROR('Data Sheet'!L31/'Historical Data'!M34,0)</f>
        <v>0</v>
      </c>
    </row>
    <row r="40" spans="1:13" x14ac:dyDescent="0.2">
      <c r="B40" s="13" t="s">
        <v>68</v>
      </c>
      <c r="C40" s="22">
        <f>IFERROR(C39/C36,0)</f>
        <v>6.6067909946271278E-2</v>
      </c>
      <c r="D40" s="22">
        <f t="shared" ref="D40:M40" si="15">IFERROR(D39/D36,0)</f>
        <v>4.5142791829728357E-2</v>
      </c>
      <c r="E40" s="22">
        <f t="shared" si="15"/>
        <v>0</v>
      </c>
      <c r="F40" s="22">
        <f t="shared" si="15"/>
        <v>4.9323400874633563E-3</v>
      </c>
      <c r="G40" s="22">
        <f t="shared" si="15"/>
        <v>0</v>
      </c>
      <c r="H40" s="22">
        <f t="shared" si="15"/>
        <v>0</v>
      </c>
      <c r="I40" s="22">
        <f t="shared" si="15"/>
        <v>0</v>
      </c>
      <c r="J40" s="22">
        <f t="shared" si="15"/>
        <v>0</v>
      </c>
      <c r="K40" s="22">
        <f t="shared" si="15"/>
        <v>0</v>
      </c>
      <c r="L40" s="22">
        <f t="shared" si="15"/>
        <v>0</v>
      </c>
      <c r="M40" s="22">
        <f t="shared" si="15"/>
        <v>0</v>
      </c>
    </row>
    <row r="42" spans="1:13" x14ac:dyDescent="0.2">
      <c r="B42" t="s">
        <v>69</v>
      </c>
      <c r="C42" s="21">
        <f>IFERROR(IF(C36&gt;C39,1-C40,0),0)</f>
        <v>0.93393209005372868</v>
      </c>
      <c r="D42" s="21">
        <f t="shared" ref="D42:M42" si="16">IFERROR(IF(D36&gt;D39,1-D40,0),0)</f>
        <v>0.95485720817027164</v>
      </c>
      <c r="E42" s="21">
        <f t="shared" si="16"/>
        <v>1</v>
      </c>
      <c r="F42" s="21">
        <f t="shared" si="16"/>
        <v>0.99506765991253665</v>
      </c>
      <c r="G42" s="21">
        <f t="shared" si="16"/>
        <v>1</v>
      </c>
      <c r="H42" s="21">
        <f t="shared" si="16"/>
        <v>1</v>
      </c>
      <c r="I42" s="21">
        <f t="shared" si="16"/>
        <v>0</v>
      </c>
      <c r="J42" s="21">
        <f t="shared" si="16"/>
        <v>0</v>
      </c>
      <c r="K42" s="21">
        <f t="shared" si="16"/>
        <v>0</v>
      </c>
      <c r="L42" s="21">
        <f t="shared" si="16"/>
        <v>0</v>
      </c>
      <c r="M42" s="21">
        <f t="shared" si="16"/>
        <v>0</v>
      </c>
    </row>
    <row r="44" spans="1:13" x14ac:dyDescent="0.2">
      <c r="A44" s="25" t="s">
        <v>59</v>
      </c>
      <c r="B44" s="26" t="s">
        <v>70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90"/>
    </row>
    <row r="46" spans="1:13" x14ac:dyDescent="0.2">
      <c r="B46" t="s">
        <v>33</v>
      </c>
      <c r="C46" s="23">
        <f>IFERROR('Data Sheet'!B57,0)</f>
        <v>638.07000000000005</v>
      </c>
      <c r="D46" s="23">
        <f>IFERROR('Data Sheet'!C57,0)</f>
        <v>643.78</v>
      </c>
      <c r="E46" s="23">
        <f>IFERROR('Data Sheet'!D57,0)</f>
        <v>643.78</v>
      </c>
      <c r="F46" s="23">
        <f>IFERROR('Data Sheet'!E57,0)</f>
        <v>679.18</v>
      </c>
      <c r="G46" s="23">
        <f>IFERROR('Data Sheet'!F57,0)</f>
        <v>679.22</v>
      </c>
      <c r="H46" s="23">
        <f>IFERROR('Data Sheet'!G57,0)</f>
        <v>679.22</v>
      </c>
      <c r="I46" s="23">
        <f>IFERROR('Data Sheet'!H57,0)</f>
        <v>679.22</v>
      </c>
      <c r="J46" s="23">
        <f>IFERROR('Data Sheet'!I57,0)</f>
        <v>719.54</v>
      </c>
      <c r="K46" s="23">
        <f>IFERROR('Data Sheet'!J57,0)</f>
        <v>765.81</v>
      </c>
      <c r="L46" s="23">
        <f>IFERROR('Data Sheet'!K57,0)</f>
        <v>765.88</v>
      </c>
    </row>
    <row r="47" spans="1:13" x14ac:dyDescent="0.2">
      <c r="B47" t="s">
        <v>34</v>
      </c>
      <c r="C47" s="23">
        <f>IFERROR('Data Sheet'!B58,0)</f>
        <v>36999.230000000003</v>
      </c>
      <c r="D47" s="23">
        <f>IFERROR('Data Sheet'!C58,0)</f>
        <v>64959.67</v>
      </c>
      <c r="E47" s="23">
        <f>IFERROR('Data Sheet'!D58,0)</f>
        <v>55618.14</v>
      </c>
      <c r="F47" s="23">
        <f>IFERROR('Data Sheet'!E58,0)</f>
        <v>78273.23</v>
      </c>
      <c r="G47" s="23">
        <f>IFERROR('Data Sheet'!F58,0)</f>
        <v>57382.67</v>
      </c>
      <c r="H47" s="23">
        <f>IFERROR('Data Sheet'!G58,0)</f>
        <v>94748.69</v>
      </c>
      <c r="I47" s="23">
        <f>IFERROR('Data Sheet'!H58,0)</f>
        <v>59500.34</v>
      </c>
      <c r="J47" s="23">
        <f>IFERROR('Data Sheet'!I58,0)</f>
        <v>61491.49</v>
      </c>
      <c r="K47" s="23">
        <f>IFERROR('Data Sheet'!J58,0)</f>
        <v>54480.91</v>
      </c>
      <c r="L47" s="23">
        <f>IFERROR('Data Sheet'!K58,0)</f>
        <v>43795.360000000001</v>
      </c>
    </row>
    <row r="48" spans="1:13" x14ac:dyDescent="0.2">
      <c r="B48" t="s">
        <v>35</v>
      </c>
      <c r="C48" s="23">
        <f>IFERROR('Data Sheet'!B59,0)</f>
        <v>53715.71</v>
      </c>
      <c r="D48" s="23">
        <f>IFERROR('Data Sheet'!C59,0)</f>
        <v>60642.28</v>
      </c>
      <c r="E48" s="23">
        <f>IFERROR('Data Sheet'!D59,0)</f>
        <v>73610.39</v>
      </c>
      <c r="F48" s="23">
        <f>IFERROR('Data Sheet'!E59,0)</f>
        <v>69359.960000000006</v>
      </c>
      <c r="G48" s="23">
        <f>IFERROR('Data Sheet'!F59,0)</f>
        <v>78603.98</v>
      </c>
      <c r="H48" s="23">
        <f>IFERROR('Data Sheet'!G59,0)</f>
        <v>88950.47</v>
      </c>
      <c r="I48" s="23">
        <f>IFERROR('Data Sheet'!H59,0)</f>
        <v>106175.34</v>
      </c>
      <c r="J48" s="23">
        <f>IFERROR('Data Sheet'!I59,0)</f>
        <v>124787.64</v>
      </c>
      <c r="K48" s="23">
        <f>IFERROR('Data Sheet'!J59,0)</f>
        <v>142130.57</v>
      </c>
      <c r="L48" s="23">
        <f>IFERROR('Data Sheet'!K59,0)</f>
        <v>146449.03</v>
      </c>
    </row>
    <row r="49" spans="2:13" x14ac:dyDescent="0.2">
      <c r="B49" t="s">
        <v>36</v>
      </c>
      <c r="C49" s="23">
        <f>IFERROR('Data Sheet'!B60,0)</f>
        <v>76977.02</v>
      </c>
      <c r="D49" s="23">
        <f>IFERROR('Data Sheet'!C60,0)</f>
        <v>92180.26</v>
      </c>
      <c r="E49" s="23">
        <f>IFERROR('Data Sheet'!D60,0)</f>
        <v>107442.48</v>
      </c>
      <c r="F49" s="23">
        <f>IFERROR('Data Sheet'!E60,0)</f>
        <v>114871.75</v>
      </c>
      <c r="G49" s="23">
        <f>IFERROR('Data Sheet'!F60,0)</f>
        <v>135914.49</v>
      </c>
      <c r="H49" s="23">
        <f>IFERROR('Data Sheet'!G60,0)</f>
        <v>142813.43</v>
      </c>
      <c r="I49" s="23">
        <f>IFERROR('Data Sheet'!H60,0)</f>
        <v>139348.59</v>
      </c>
      <c r="J49" s="23">
        <f>IFERROR('Data Sheet'!I60,0)</f>
        <v>133180.72</v>
      </c>
      <c r="K49" s="23">
        <f>IFERROR('Data Sheet'!J60,0)</f>
        <v>144192.62</v>
      </c>
      <c r="L49" s="23">
        <f>IFERROR('Data Sheet'!K60,0)</f>
        <v>138051.22</v>
      </c>
    </row>
    <row r="50" spans="2:13" x14ac:dyDescent="0.2">
      <c r="B50" s="12" t="s">
        <v>71</v>
      </c>
      <c r="C50" s="27">
        <f>IFERROR('Data Sheet'!B61,0)</f>
        <v>168330.03</v>
      </c>
      <c r="D50" s="27">
        <f>IFERROR('Data Sheet'!C61,0)</f>
        <v>218425.99</v>
      </c>
      <c r="E50" s="27">
        <f>IFERROR('Data Sheet'!D61,0)</f>
        <v>237314.79</v>
      </c>
      <c r="F50" s="27">
        <f>IFERROR('Data Sheet'!E61,0)</f>
        <v>263184.12</v>
      </c>
      <c r="G50" s="27">
        <f>IFERROR('Data Sheet'!F61,0)</f>
        <v>272580.36</v>
      </c>
      <c r="H50" s="27">
        <f>IFERROR('Data Sheet'!G61,0)</f>
        <v>327191.81</v>
      </c>
      <c r="I50" s="27">
        <f>IFERROR('Data Sheet'!H61,0)</f>
        <v>305703.49</v>
      </c>
      <c r="J50" s="27">
        <f>IFERROR('Data Sheet'!I61,0)</f>
        <v>320179.39</v>
      </c>
      <c r="K50" s="27">
        <f>IFERROR('Data Sheet'!J61,0)</f>
        <v>341569.91</v>
      </c>
      <c r="L50" s="27">
        <f>IFERROR('Data Sheet'!K61,0)</f>
        <v>329061.49</v>
      </c>
      <c r="M50" s="12"/>
    </row>
    <row r="52" spans="2:13" x14ac:dyDescent="0.2">
      <c r="B52" t="s">
        <v>121</v>
      </c>
      <c r="C52" s="23">
        <f>IFERROR('Data Sheet'!B62,0)</f>
        <v>55511.73</v>
      </c>
      <c r="D52" s="23">
        <f>IFERROR('Data Sheet'!C62,0)</f>
        <v>69091.67</v>
      </c>
      <c r="E52" s="23">
        <f>IFERROR('Data Sheet'!D62,0)</f>
        <v>88479.49</v>
      </c>
      <c r="F52" s="23">
        <f>IFERROR('Data Sheet'!E62,0)</f>
        <v>107231.76</v>
      </c>
      <c r="G52" s="23">
        <f>IFERROR('Data Sheet'!F62,0)</f>
        <v>95944.08</v>
      </c>
      <c r="H52" s="23">
        <f>IFERROR('Data Sheet'!G62,0)</f>
        <v>121413.86</v>
      </c>
      <c r="I52" s="23">
        <f>IFERROR('Data Sheet'!H62,0)</f>
        <v>111234.47</v>
      </c>
      <c r="J52" s="23">
        <f>IFERROR('Data Sheet'!I62,0)</f>
        <v>127107.14</v>
      </c>
      <c r="K52" s="23">
        <f>IFERROR('Data Sheet'!J62,0)</f>
        <v>138707.60999999999</v>
      </c>
      <c r="L52" s="23">
        <f>IFERROR('Data Sheet'!K62,0)</f>
        <v>138855.45000000001</v>
      </c>
    </row>
    <row r="53" spans="2:13" x14ac:dyDescent="0.2">
      <c r="B53" t="s">
        <v>39</v>
      </c>
      <c r="C53" s="23">
        <f>IFERROR('Data Sheet'!B63,0)</f>
        <v>18453.55</v>
      </c>
      <c r="D53" s="23">
        <f>IFERROR('Data Sheet'!C63,0)</f>
        <v>33262.559999999998</v>
      </c>
      <c r="E53" s="23">
        <f>IFERROR('Data Sheet'!D63,0)</f>
        <v>28640.09</v>
      </c>
      <c r="F53" s="23">
        <f>IFERROR('Data Sheet'!E63,0)</f>
        <v>25918.94</v>
      </c>
      <c r="G53" s="23">
        <f>IFERROR('Data Sheet'!F63,0)</f>
        <v>33698.839999999997</v>
      </c>
      <c r="H53" s="23">
        <f>IFERROR('Data Sheet'!G63,0)</f>
        <v>40033.5</v>
      </c>
      <c r="I53" s="23">
        <f>IFERROR('Data Sheet'!H63,0)</f>
        <v>31883.84</v>
      </c>
      <c r="J53" s="23">
        <f>IFERROR('Data Sheet'!I63,0)</f>
        <v>35622.29</v>
      </c>
      <c r="K53" s="23">
        <f>IFERROR('Data Sheet'!J63,0)</f>
        <v>20963.93</v>
      </c>
      <c r="L53" s="23">
        <f>IFERROR('Data Sheet'!K63,0)</f>
        <v>10251.09</v>
      </c>
    </row>
    <row r="54" spans="2:13" x14ac:dyDescent="0.2">
      <c r="B54" t="s">
        <v>40</v>
      </c>
      <c r="C54" s="23">
        <f>IFERROR('Data Sheet'!B64,0)</f>
        <v>8764.73</v>
      </c>
      <c r="D54" s="23">
        <f>IFERROR('Data Sheet'!C64,0)</f>
        <v>10686.67</v>
      </c>
      <c r="E54" s="23">
        <f>IFERROR('Data Sheet'!D64,0)</f>
        <v>15336.74</v>
      </c>
      <c r="F54" s="23">
        <f>IFERROR('Data Sheet'!E64,0)</f>
        <v>23767.02</v>
      </c>
      <c r="G54" s="23">
        <f>IFERROR('Data Sheet'!F64,0)</f>
        <v>20337.919999999998</v>
      </c>
      <c r="H54" s="23">
        <f>IFERROR('Data Sheet'!G64,0)</f>
        <v>20812.75</v>
      </c>
      <c r="I54" s="23">
        <f>IFERROR('Data Sheet'!H64,0)</f>
        <v>15770.72</v>
      </c>
      <c r="J54" s="23">
        <f>IFERROR('Data Sheet'!I64,0)</f>
        <v>16308.48</v>
      </c>
      <c r="K54" s="23">
        <f>IFERROR('Data Sheet'!J64,0)</f>
        <v>24620.28</v>
      </c>
      <c r="L54" s="23">
        <f>IFERROR('Data Sheet'!K64,0)</f>
        <v>29379.53</v>
      </c>
    </row>
    <row r="55" spans="2:13" x14ac:dyDescent="0.2">
      <c r="B55" t="s">
        <v>41</v>
      </c>
      <c r="C55" s="23">
        <f>IFERROR('Data Sheet'!B65-SUM('Data Sheet'!B67:B69),0)</f>
        <v>32488.780000000006</v>
      </c>
      <c r="D55" s="23">
        <f>IFERROR('Data Sheet'!C65-SUM('Data Sheet'!C67:C69),0)</f>
        <v>37828.179999999993</v>
      </c>
      <c r="E55" s="23">
        <f>IFERROR('Data Sheet'!D65-SUM('Data Sheet'!D67:D69),0)</f>
        <v>30891.17</v>
      </c>
      <c r="F55" s="23">
        <f>IFERROR('Data Sheet'!E65-SUM('Data Sheet'!E67:E69),0)</f>
        <v>29579.359999999986</v>
      </c>
      <c r="G55" s="23">
        <f>IFERROR('Data Sheet'!F65-SUM('Data Sheet'!F67:F69),0)</f>
        <v>37360.780000000013</v>
      </c>
      <c r="H55" s="23">
        <f>IFERROR('Data Sheet'!G65-SUM('Data Sheet'!G67:G69),0)</f>
        <v>48286.860000000015</v>
      </c>
      <c r="I55" s="23">
        <f>IFERROR('Data Sheet'!H65-SUM('Data Sheet'!H67:H69),0)</f>
        <v>56155.739999999991</v>
      </c>
      <c r="J55" s="23">
        <f>IFERROR('Data Sheet'!I65-SUM('Data Sheet'!I67:I69),0)</f>
        <v>58784.94</v>
      </c>
      <c r="K55" s="23">
        <f>IFERROR('Data Sheet'!J65-SUM('Data Sheet'!J67:J69),0)</f>
        <v>61717.959999999992</v>
      </c>
      <c r="L55" s="23">
        <f>IFERROR('Data Sheet'!K65-SUM('Data Sheet'!K67:K69),0)</f>
        <v>62223.770000000019</v>
      </c>
    </row>
    <row r="56" spans="2:13" x14ac:dyDescent="0.2">
      <c r="B56" s="12" t="s">
        <v>122</v>
      </c>
      <c r="C56" s="27">
        <f>SUM(C52:C55)</f>
        <v>115218.79000000001</v>
      </c>
      <c r="D56" s="27">
        <f t="shared" ref="D56:L56" si="17">SUM(D52:D55)</f>
        <v>150869.07999999999</v>
      </c>
      <c r="E56" s="27">
        <f t="shared" si="17"/>
        <v>163347.49</v>
      </c>
      <c r="F56" s="27">
        <f t="shared" si="17"/>
        <v>186497.07999999996</v>
      </c>
      <c r="G56" s="27">
        <f t="shared" si="17"/>
        <v>187341.62</v>
      </c>
      <c r="H56" s="27">
        <f t="shared" si="17"/>
        <v>230546.97</v>
      </c>
      <c r="I56" s="27">
        <f t="shared" si="17"/>
        <v>215044.77</v>
      </c>
      <c r="J56" s="27">
        <f t="shared" si="17"/>
        <v>237822.85</v>
      </c>
      <c r="K56" s="27">
        <f t="shared" si="17"/>
        <v>246009.77999999997</v>
      </c>
      <c r="L56" s="27">
        <f t="shared" si="17"/>
        <v>240709.84000000003</v>
      </c>
    </row>
    <row r="58" spans="2:13" x14ac:dyDescent="0.2">
      <c r="B58" t="s">
        <v>42</v>
      </c>
      <c r="C58" s="23">
        <f>IFERROR('Data Sheet'!B67,0)</f>
        <v>10959.6</v>
      </c>
      <c r="D58" s="23">
        <f>IFERROR('Data Sheet'!C67,0)</f>
        <v>10574.23</v>
      </c>
      <c r="E58" s="23">
        <f>IFERROR('Data Sheet'!D67,0)</f>
        <v>12579.2</v>
      </c>
      <c r="F58" s="23">
        <f>IFERROR('Data Sheet'!E67,0)</f>
        <v>13570.91</v>
      </c>
      <c r="G58" s="23">
        <f>IFERROR('Data Sheet'!F67,0)</f>
        <v>14075.55</v>
      </c>
      <c r="H58" s="23">
        <f>IFERROR('Data Sheet'!G67,0)</f>
        <v>19893.3</v>
      </c>
      <c r="I58" s="23">
        <f>IFERROR('Data Sheet'!H67,0)</f>
        <v>18996.169999999998</v>
      </c>
      <c r="J58" s="23">
        <f>IFERROR('Data Sheet'!I67,0)</f>
        <v>11172.69</v>
      </c>
      <c r="K58" s="23">
        <f>IFERROR('Data Sheet'!J67,0)</f>
        <v>12679.08</v>
      </c>
      <c r="L58" s="23">
        <f>IFERROR('Data Sheet'!K67,0)</f>
        <v>12442.12</v>
      </c>
    </row>
    <row r="59" spans="2:13" x14ac:dyDescent="0.2">
      <c r="B59" t="s">
        <v>43</v>
      </c>
      <c r="C59" s="23">
        <f>IFERROR('Data Sheet'!B68,0)</f>
        <v>21036.82</v>
      </c>
      <c r="D59" s="23">
        <f>IFERROR('Data Sheet'!C68,0)</f>
        <v>27270.89</v>
      </c>
      <c r="E59" s="23">
        <f>IFERROR('Data Sheet'!D68,0)</f>
        <v>29272.34</v>
      </c>
      <c r="F59" s="23">
        <f>IFERROR('Data Sheet'!E68,0)</f>
        <v>32655.73</v>
      </c>
      <c r="G59" s="23">
        <f>IFERROR('Data Sheet'!F68,0)</f>
        <v>35085.31</v>
      </c>
      <c r="H59" s="23">
        <f>IFERROR('Data Sheet'!G68,0)</f>
        <v>42137.63</v>
      </c>
      <c r="I59" s="23">
        <f>IFERROR('Data Sheet'!H68,0)</f>
        <v>39013.730000000003</v>
      </c>
      <c r="J59" s="23">
        <f>IFERROR('Data Sheet'!I68,0)</f>
        <v>37456.879999999997</v>
      </c>
      <c r="K59" s="23">
        <f>IFERROR('Data Sheet'!J68,0)</f>
        <v>36088.589999999997</v>
      </c>
      <c r="L59" s="23">
        <f>IFERROR('Data Sheet'!K68,0)</f>
        <v>35240.339999999997</v>
      </c>
    </row>
    <row r="60" spans="2:13" x14ac:dyDescent="0.2">
      <c r="B60" t="s">
        <v>44</v>
      </c>
      <c r="C60" s="23">
        <f>IFERROR('Data Sheet'!B69,0)</f>
        <v>21114.82</v>
      </c>
      <c r="D60" s="23">
        <f>IFERROR('Data Sheet'!C69,0)</f>
        <v>29711.79</v>
      </c>
      <c r="E60" s="23">
        <f>IFERROR('Data Sheet'!D69,0)</f>
        <v>32115.759999999998</v>
      </c>
      <c r="F60" s="23">
        <f>IFERROR('Data Sheet'!E69,0)</f>
        <v>30460.400000000001</v>
      </c>
      <c r="G60" s="23">
        <f>IFERROR('Data Sheet'!F69,0)</f>
        <v>36077.879999999997</v>
      </c>
      <c r="H60" s="23">
        <f>IFERROR('Data Sheet'!G69,0)</f>
        <v>34613.910000000003</v>
      </c>
      <c r="I60" s="23">
        <f>IFERROR('Data Sheet'!H69,0)</f>
        <v>32648.82</v>
      </c>
      <c r="J60" s="23">
        <f>IFERROR('Data Sheet'!I69,0)</f>
        <v>33726.97</v>
      </c>
      <c r="K60" s="23">
        <f>IFERROR('Data Sheet'!J69,0)</f>
        <v>46792.46</v>
      </c>
      <c r="L60" s="23">
        <f>IFERROR('Data Sheet'!K69,0)</f>
        <v>40669.19</v>
      </c>
    </row>
    <row r="61" spans="2:13" x14ac:dyDescent="0.2">
      <c r="B61" s="12" t="s">
        <v>123</v>
      </c>
      <c r="C61" s="27">
        <f>SUM(C58:C60)</f>
        <v>53111.24</v>
      </c>
      <c r="D61" s="27">
        <f t="shared" ref="D61:K61" si="18">SUM(D58:D60)</f>
        <v>67556.91</v>
      </c>
      <c r="E61" s="27">
        <f t="shared" si="18"/>
        <v>73967.3</v>
      </c>
      <c r="F61" s="27">
        <f t="shared" si="18"/>
        <v>76687.040000000008</v>
      </c>
      <c r="G61" s="27">
        <f t="shared" si="18"/>
        <v>85238.739999999991</v>
      </c>
      <c r="H61" s="27">
        <f t="shared" si="18"/>
        <v>96644.84</v>
      </c>
      <c r="I61" s="27">
        <f t="shared" si="18"/>
        <v>90658.72</v>
      </c>
      <c r="J61" s="27">
        <f t="shared" si="18"/>
        <v>82356.540000000008</v>
      </c>
      <c r="K61" s="27">
        <f t="shared" si="18"/>
        <v>95560.13</v>
      </c>
      <c r="L61" s="27">
        <f>SUM(L58:L60)</f>
        <v>88351.65</v>
      </c>
    </row>
    <row r="63" spans="2:13" x14ac:dyDescent="0.2">
      <c r="B63" s="12" t="s">
        <v>124</v>
      </c>
      <c r="C63" s="27">
        <f>C61+C56</f>
        <v>168330.03</v>
      </c>
      <c r="D63" s="27">
        <f t="shared" ref="D63:L63" si="19">D61+D56</f>
        <v>218425.99</v>
      </c>
      <c r="E63" s="27">
        <f t="shared" si="19"/>
        <v>237314.78999999998</v>
      </c>
      <c r="F63" s="27">
        <f t="shared" si="19"/>
        <v>263184.12</v>
      </c>
      <c r="G63" s="27">
        <f t="shared" si="19"/>
        <v>272580.36</v>
      </c>
      <c r="H63" s="27">
        <f t="shared" si="19"/>
        <v>327191.81</v>
      </c>
      <c r="I63" s="27">
        <f t="shared" si="19"/>
        <v>305703.49</v>
      </c>
      <c r="J63" s="27">
        <f t="shared" si="19"/>
        <v>320179.39</v>
      </c>
      <c r="K63" s="27">
        <f t="shared" si="19"/>
        <v>341569.91</v>
      </c>
      <c r="L63" s="27">
        <f t="shared" si="19"/>
        <v>329061.49</v>
      </c>
    </row>
    <row r="65" spans="1:13" x14ac:dyDescent="0.2">
      <c r="B65" s="12" t="s">
        <v>72</v>
      </c>
      <c r="C65" t="b">
        <f>C63=C50</f>
        <v>1</v>
      </c>
      <c r="D65" t="b">
        <f t="shared" ref="D65:L65" si="20">D63=D50</f>
        <v>1</v>
      </c>
      <c r="E65" t="b">
        <f t="shared" si="20"/>
        <v>1</v>
      </c>
      <c r="F65" t="b">
        <f t="shared" si="20"/>
        <v>1</v>
      </c>
      <c r="G65" t="b">
        <f t="shared" si="20"/>
        <v>1</v>
      </c>
      <c r="H65" t="b">
        <f t="shared" si="20"/>
        <v>1</v>
      </c>
      <c r="I65" t="b">
        <f t="shared" si="20"/>
        <v>1</v>
      </c>
      <c r="J65" t="b">
        <f t="shared" si="20"/>
        <v>1</v>
      </c>
      <c r="K65" t="b">
        <f t="shared" si="20"/>
        <v>1</v>
      </c>
      <c r="L65" t="b">
        <f t="shared" si="20"/>
        <v>1</v>
      </c>
    </row>
    <row r="67" spans="1:13" x14ac:dyDescent="0.2">
      <c r="A67" s="25" t="s">
        <v>59</v>
      </c>
      <c r="B67" s="26" t="s">
        <v>103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90"/>
    </row>
    <row r="68" spans="1:13" x14ac:dyDescent="0.2">
      <c r="B68" t="s">
        <v>125</v>
      </c>
    </row>
    <row r="69" spans="1:13" x14ac:dyDescent="0.2">
      <c r="B69" t="s">
        <v>73</v>
      </c>
      <c r="C69" s="23">
        <f>IFERROR('Cash Flow Data'!E4,0)</f>
        <v>24406</v>
      </c>
      <c r="D69" s="23">
        <f>IFERROR('Cash Flow Data'!F4,0)</f>
        <v>36303</v>
      </c>
      <c r="E69" s="23">
        <f>IFERROR('Cash Flow Data'!G4,0)</f>
        <v>43397</v>
      </c>
      <c r="F69" s="23">
        <f>IFERROR('Cash Flow Data'!H4,0)</f>
        <v>38626</v>
      </c>
      <c r="G69" s="23">
        <f>IFERROR('Cash Flow Data'!I4,0)</f>
        <v>28840</v>
      </c>
      <c r="H69" s="23">
        <f>IFERROR('Cash Flow Data'!J4,0)</f>
        <v>33312</v>
      </c>
      <c r="I69" s="23">
        <f>IFERROR('Cash Flow Data'!K4,0)</f>
        <v>28771</v>
      </c>
      <c r="J69" s="23">
        <f>IFERROR('Cash Flow Data'!L4,0)</f>
        <v>23352</v>
      </c>
      <c r="K69" s="23">
        <f>IFERROR('Cash Flow Data'!M4,0)</f>
        <v>31198</v>
      </c>
      <c r="L69" s="23">
        <f>IFERROR('Cash Flow Data'!N4,0)</f>
        <v>26666</v>
      </c>
    </row>
    <row r="70" spans="1:13" x14ac:dyDescent="0.2">
      <c r="B70" t="s">
        <v>42</v>
      </c>
      <c r="C70" s="23">
        <f>IFERROR('Cash Flow Data'!E5,0)</f>
        <v>-5177</v>
      </c>
      <c r="D70" s="23">
        <f>IFERROR('Cash Flow Data'!F5,0)</f>
        <v>445</v>
      </c>
      <c r="E70" s="23">
        <f>IFERROR('Cash Flow Data'!G5,0)</f>
        <v>-3179</v>
      </c>
      <c r="F70" s="23">
        <f>IFERROR('Cash Flow Data'!H5,0)</f>
        <v>-2223</v>
      </c>
      <c r="G70" s="23">
        <f>IFERROR('Cash Flow Data'!I5,0)</f>
        <v>-4152</v>
      </c>
      <c r="H70" s="23">
        <f>IFERROR('Cash Flow Data'!J5,0)</f>
        <v>-10688</v>
      </c>
      <c r="I70" s="23">
        <f>IFERROR('Cash Flow Data'!K5,0)</f>
        <v>-9109</v>
      </c>
      <c r="J70" s="23">
        <f>IFERROR('Cash Flow Data'!L5,0)</f>
        <v>9950</v>
      </c>
      <c r="K70" s="23">
        <f>IFERROR('Cash Flow Data'!M5,0)</f>
        <v>-5505</v>
      </c>
      <c r="L70" s="23">
        <f>IFERROR('Cash Flow Data'!N5,0)</f>
        <v>337</v>
      </c>
    </row>
    <row r="71" spans="1:13" x14ac:dyDescent="0.2">
      <c r="B71" t="s">
        <v>43</v>
      </c>
      <c r="C71" s="23">
        <f>IFERROR('Cash Flow Data'!E6,0)</f>
        <v>-2656</v>
      </c>
      <c r="D71" s="23">
        <f>IFERROR('Cash Flow Data'!F6,0)</f>
        <v>-2853</v>
      </c>
      <c r="E71" s="23">
        <f>IFERROR('Cash Flow Data'!G6,0)</f>
        <v>-3692</v>
      </c>
      <c r="F71" s="23">
        <f>IFERROR('Cash Flow Data'!H6,0)</f>
        <v>-5743</v>
      </c>
      <c r="G71" s="23">
        <f>IFERROR('Cash Flow Data'!I6,0)</f>
        <v>-6621</v>
      </c>
      <c r="H71" s="23">
        <f>IFERROR('Cash Flow Data'!J6,0)</f>
        <v>-3560</v>
      </c>
      <c r="I71" s="23">
        <f>IFERROR('Cash Flow Data'!K6,0)</f>
        <v>2069</v>
      </c>
      <c r="J71" s="23">
        <f>IFERROR('Cash Flow Data'!L6,0)</f>
        <v>2326</v>
      </c>
      <c r="K71" s="23">
        <f>IFERROR('Cash Flow Data'!M6,0)</f>
        <v>3814</v>
      </c>
      <c r="L71" s="23">
        <f>IFERROR('Cash Flow Data'!N6,0)</f>
        <v>597</v>
      </c>
    </row>
    <row r="72" spans="1:13" x14ac:dyDescent="0.2">
      <c r="B72" t="s">
        <v>74</v>
      </c>
      <c r="C72" s="23">
        <f>IFERROR('Cash Flow Data'!E7,0)</f>
        <v>8132</v>
      </c>
      <c r="D72" s="23">
        <f>IFERROR('Cash Flow Data'!F7,0)</f>
        <v>4694</v>
      </c>
      <c r="E72" s="23">
        <f>IFERROR('Cash Flow Data'!G7,0)</f>
        <v>3598</v>
      </c>
      <c r="F72" s="23">
        <f>IFERROR('Cash Flow Data'!H7,0)</f>
        <v>3947</v>
      </c>
      <c r="G72" s="23">
        <f>IFERROR('Cash Flow Data'!I7,0)</f>
        <v>9301</v>
      </c>
      <c r="H72" s="23">
        <f>IFERROR('Cash Flow Data'!J7,0)</f>
        <v>7320</v>
      </c>
      <c r="I72" s="23">
        <f>IFERROR('Cash Flow Data'!K7,0)</f>
        <v>-4692</v>
      </c>
      <c r="J72" s="23">
        <f>IFERROR('Cash Flow Data'!L7,0)</f>
        <v>-8085</v>
      </c>
      <c r="K72" s="23">
        <f>IFERROR('Cash Flow Data'!M7,0)</f>
        <v>5748</v>
      </c>
      <c r="L72" s="23">
        <f>IFERROR('Cash Flow Data'!N7,0)</f>
        <v>-7012</v>
      </c>
    </row>
    <row r="73" spans="1:13" x14ac:dyDescent="0.2">
      <c r="B73" t="s">
        <v>75</v>
      </c>
      <c r="C73" s="20" t="s">
        <v>108</v>
      </c>
      <c r="D73" s="20">
        <f>IFERROR('Cash Flow Data'!F8,0)</f>
        <v>0</v>
      </c>
      <c r="E73" s="20">
        <f>IFERROR('Cash Flow Data'!G8,0)</f>
        <v>0</v>
      </c>
      <c r="F73" s="20">
        <f>IFERROR('Cash Flow Data'!H8,0)</f>
        <v>-520</v>
      </c>
      <c r="G73" s="20">
        <f>IFERROR('Cash Flow Data'!I8,0)</f>
        <v>0</v>
      </c>
      <c r="H73" s="20">
        <f>IFERROR('Cash Flow Data'!J8,0)</f>
        <v>0</v>
      </c>
      <c r="I73" s="20">
        <f>IFERROR('Cash Flow Data'!K8,0)</f>
        <v>0</v>
      </c>
      <c r="J73" s="20">
        <f>IFERROR('Cash Flow Data'!L8,0)</f>
        <v>0</v>
      </c>
      <c r="K73" s="20">
        <f>IFERROR('Cash Flow Data'!M8,0)</f>
        <v>0</v>
      </c>
      <c r="L73" s="20">
        <f>IFERROR('Cash Flow Data'!N8,0)</f>
        <v>0</v>
      </c>
    </row>
    <row r="74" spans="1:13" x14ac:dyDescent="0.2">
      <c r="B74" t="s">
        <v>76</v>
      </c>
      <c r="C74" s="23">
        <f>IFERROR('Cash Flow Data'!E9,0)</f>
        <v>-303</v>
      </c>
      <c r="D74" s="23">
        <f>IFERROR('Cash Flow Data'!F9,0)</f>
        <v>1870</v>
      </c>
      <c r="E74" s="23">
        <f>IFERROR('Cash Flow Data'!G9,0)</f>
        <v>-398</v>
      </c>
      <c r="F74" s="23">
        <f>IFERROR('Cash Flow Data'!H9,0)</f>
        <v>5852</v>
      </c>
      <c r="G74" s="23">
        <f>IFERROR('Cash Flow Data'!I9,0)</f>
        <v>4727</v>
      </c>
      <c r="H74" s="23">
        <f>IFERROR('Cash Flow Data'!J9,0)</f>
        <v>494</v>
      </c>
      <c r="I74" s="23">
        <f>IFERROR('Cash Flow Data'!K9,0)</f>
        <v>4512</v>
      </c>
      <c r="J74" s="23">
        <f>IFERROR('Cash Flow Data'!L9,0)</f>
        <v>875</v>
      </c>
      <c r="K74" s="23">
        <f>IFERROR('Cash Flow Data'!M9,0)</f>
        <v>-4150</v>
      </c>
      <c r="L74" s="23">
        <f>IFERROR('Cash Flow Data'!N9,0)</f>
        <v>-4396</v>
      </c>
    </row>
    <row r="75" spans="1:13" x14ac:dyDescent="0.2">
      <c r="B75" t="s">
        <v>77</v>
      </c>
      <c r="C75" s="23">
        <f>IFERROR('Cash Flow Data'!E10,0)</f>
        <v>-3</v>
      </c>
      <c r="D75" s="23">
        <f>IFERROR('Cash Flow Data'!F10,0)</f>
        <v>4157</v>
      </c>
      <c r="E75" s="23">
        <f>IFERROR('Cash Flow Data'!G10,0)</f>
        <v>-3672</v>
      </c>
      <c r="F75" s="23">
        <f>IFERROR('Cash Flow Data'!H10,0)</f>
        <v>1313</v>
      </c>
      <c r="G75" s="23">
        <f>IFERROR('Cash Flow Data'!I10,0)</f>
        <v>3254</v>
      </c>
      <c r="H75" s="23">
        <f>IFERROR('Cash Flow Data'!J10,0)</f>
        <v>-6434</v>
      </c>
      <c r="I75" s="23">
        <f>IFERROR('Cash Flow Data'!K10,0)</f>
        <v>-7221</v>
      </c>
      <c r="J75" s="23">
        <f>IFERROR('Cash Flow Data'!L10,0)</f>
        <v>5065</v>
      </c>
      <c r="K75" s="23">
        <f>IFERROR('Cash Flow Data'!M10,0)</f>
        <v>-93</v>
      </c>
      <c r="L75" s="23">
        <f>IFERROR('Cash Flow Data'!N10,0)</f>
        <v>-10474</v>
      </c>
    </row>
    <row r="76" spans="1:13" x14ac:dyDescent="0.2">
      <c r="B76" t="s">
        <v>78</v>
      </c>
      <c r="C76" s="23">
        <f>IFERROR('Cash Flow Data'!E11,0)</f>
        <v>-2240</v>
      </c>
      <c r="D76" s="23">
        <f>IFERROR('Cash Flow Data'!F11,0)</f>
        <v>-4308</v>
      </c>
      <c r="E76" s="23">
        <f>IFERROR('Cash Flow Data'!G11,0)</f>
        <v>-4194</v>
      </c>
      <c r="F76" s="23">
        <f>IFERROR('Cash Flow Data'!H11,0)</f>
        <v>-2040</v>
      </c>
      <c r="G76" s="23">
        <f>IFERROR('Cash Flow Data'!I11,0)</f>
        <v>-1895</v>
      </c>
      <c r="H76" s="23">
        <f>IFERROR('Cash Flow Data'!J11,0)</f>
        <v>-3021</v>
      </c>
      <c r="I76" s="23">
        <f>IFERROR('Cash Flow Data'!K11,0)</f>
        <v>-2659</v>
      </c>
      <c r="J76" s="23">
        <f>IFERROR('Cash Flow Data'!L11,0)</f>
        <v>-1785</v>
      </c>
      <c r="K76" s="23">
        <f>IFERROR('Cash Flow Data'!M11,0)</f>
        <v>-2105</v>
      </c>
      <c r="L76" s="23">
        <f>IFERROR('Cash Flow Data'!N11,0)</f>
        <v>-1910</v>
      </c>
    </row>
    <row r="77" spans="1:13" x14ac:dyDescent="0.2">
      <c r="B77" s="12" t="s">
        <v>126</v>
      </c>
      <c r="C77" s="27">
        <f>SUM(C69:C76)</f>
        <v>22159</v>
      </c>
      <c r="D77" s="27">
        <f t="shared" ref="D77:L77" si="21">SUM(D69:D76)</f>
        <v>40308</v>
      </c>
      <c r="E77" s="27">
        <f t="shared" si="21"/>
        <v>31860</v>
      </c>
      <c r="F77" s="27">
        <f t="shared" si="21"/>
        <v>39212</v>
      </c>
      <c r="G77" s="27">
        <f t="shared" si="21"/>
        <v>33454</v>
      </c>
      <c r="H77" s="27">
        <f t="shared" si="21"/>
        <v>17423</v>
      </c>
      <c r="I77" s="27">
        <f t="shared" si="21"/>
        <v>11671</v>
      </c>
      <c r="J77" s="27">
        <f t="shared" si="21"/>
        <v>31698</v>
      </c>
      <c r="K77" s="27">
        <f t="shared" si="21"/>
        <v>28907</v>
      </c>
      <c r="L77" s="27">
        <f t="shared" si="21"/>
        <v>3808</v>
      </c>
    </row>
    <row r="79" spans="1:13" x14ac:dyDescent="0.2">
      <c r="B79" s="12" t="s">
        <v>104</v>
      </c>
    </row>
    <row r="80" spans="1:13" x14ac:dyDescent="0.2">
      <c r="B80" t="s">
        <v>79</v>
      </c>
      <c r="C80" s="20">
        <f>IFERROR('Cash Flow Data'!E13,0)</f>
        <v>-18863</v>
      </c>
      <c r="D80" s="20">
        <f>IFERROR('Cash Flow Data'!F13,0)</f>
        <v>-26975</v>
      </c>
      <c r="E80" s="20">
        <f>IFERROR('Cash Flow Data'!G13,0)</f>
        <v>-31962</v>
      </c>
      <c r="F80" s="20">
        <f>IFERROR('Cash Flow Data'!H13,0)</f>
        <v>-31503</v>
      </c>
      <c r="G80" s="20">
        <f>IFERROR('Cash Flow Data'!I13,0)</f>
        <v>-16072</v>
      </c>
      <c r="H80" s="20">
        <f>IFERROR('Cash Flow Data'!J13,0)</f>
        <v>-35079</v>
      </c>
      <c r="I80" s="20">
        <f>IFERROR('Cash Flow Data'!K13,0)</f>
        <v>-35304</v>
      </c>
      <c r="J80" s="20">
        <f>IFERROR('Cash Flow Data'!L13,0)</f>
        <v>-29702</v>
      </c>
      <c r="K80" s="20">
        <f>IFERROR('Cash Flow Data'!M13,0)</f>
        <v>-20205</v>
      </c>
      <c r="L80" s="20">
        <f>IFERROR('Cash Flow Data'!N13,0)</f>
        <v>-15168</v>
      </c>
    </row>
    <row r="81" spans="2:12" x14ac:dyDescent="0.2">
      <c r="B81" t="s">
        <v>80</v>
      </c>
      <c r="C81" s="20">
        <f>IFERROR('Cash Flow Data'!E14,0)</f>
        <v>37</v>
      </c>
      <c r="D81" s="20">
        <f>IFERROR('Cash Flow Data'!F14,0)</f>
        <v>50</v>
      </c>
      <c r="E81" s="20">
        <f>IFERROR('Cash Flow Data'!G14,0)</f>
        <v>74</v>
      </c>
      <c r="F81" s="20">
        <f>IFERROR('Cash Flow Data'!H14,0)</f>
        <v>59</v>
      </c>
      <c r="G81" s="20">
        <f>IFERROR('Cash Flow Data'!I14,0)</f>
        <v>53</v>
      </c>
      <c r="H81" s="20">
        <f>IFERROR('Cash Flow Data'!J14,0)</f>
        <v>30</v>
      </c>
      <c r="I81" s="20">
        <f>IFERROR('Cash Flow Data'!K14,0)</f>
        <v>67</v>
      </c>
      <c r="J81" s="20">
        <f>IFERROR('Cash Flow Data'!L14,0)</f>
        <v>171</v>
      </c>
      <c r="K81" s="20">
        <f>IFERROR('Cash Flow Data'!M14,0)</f>
        <v>351</v>
      </c>
      <c r="L81" s="20">
        <f>IFERROR('Cash Flow Data'!N14,0)</f>
        <v>230</v>
      </c>
    </row>
    <row r="82" spans="2:12" x14ac:dyDescent="0.2">
      <c r="B82" t="s">
        <v>81</v>
      </c>
      <c r="C82" s="20">
        <f>IFERROR('Cash Flow Data'!E15,0)</f>
        <v>73</v>
      </c>
      <c r="D82" s="20">
        <f>IFERROR('Cash Flow Data'!F15,0)</f>
        <v>-429</v>
      </c>
      <c r="E82" s="20">
        <f>IFERROR('Cash Flow Data'!G15,0)</f>
        <v>-5461</v>
      </c>
      <c r="F82" s="20">
        <f>IFERROR('Cash Flow Data'!H15,0)</f>
        <v>-4728</v>
      </c>
      <c r="G82" s="20">
        <f>IFERROR('Cash Flow Data'!I15,0)</f>
        <v>-6</v>
      </c>
      <c r="H82" s="20">
        <f>IFERROR('Cash Flow Data'!J15,0)</f>
        <v>-329</v>
      </c>
      <c r="I82" s="20">
        <f>IFERROR('Cash Flow Data'!K15,0)</f>
        <v>-130</v>
      </c>
      <c r="J82" s="20">
        <f>IFERROR('Cash Flow Data'!L15,0)</f>
        <v>-1439</v>
      </c>
      <c r="K82" s="20">
        <f>IFERROR('Cash Flow Data'!M15,0)</f>
        <v>-7530</v>
      </c>
      <c r="L82" s="20">
        <f>IFERROR('Cash Flow Data'!N15,0)</f>
        <v>-3008</v>
      </c>
    </row>
    <row r="83" spans="2:12" x14ac:dyDescent="0.2">
      <c r="B83" t="s">
        <v>82</v>
      </c>
      <c r="C83" s="20">
        <f>IFERROR('Cash Flow Data'!E16,0)</f>
        <v>34</v>
      </c>
      <c r="D83" s="20">
        <f>IFERROR('Cash Flow Data'!F16,0)</f>
        <v>4</v>
      </c>
      <c r="E83" s="20">
        <f>IFERROR('Cash Flow Data'!G16,0)</f>
        <v>42</v>
      </c>
      <c r="F83" s="20">
        <f>IFERROR('Cash Flow Data'!H16,0)</f>
        <v>89</v>
      </c>
      <c r="G83" s="20">
        <f>IFERROR('Cash Flow Data'!I16,0)</f>
        <v>1965</v>
      </c>
      <c r="H83" s="20">
        <f>IFERROR('Cash Flow Data'!J16,0)</f>
        <v>2381</v>
      </c>
      <c r="I83" s="20">
        <f>IFERROR('Cash Flow Data'!K16,0)</f>
        <v>5644</v>
      </c>
      <c r="J83" s="20">
        <f>IFERROR('Cash Flow Data'!L16,0)</f>
        <v>21</v>
      </c>
      <c r="K83" s="20">
        <f>IFERROR('Cash Flow Data'!M16,0)</f>
        <v>226</v>
      </c>
      <c r="L83" s="20">
        <f>IFERROR('Cash Flow Data'!N16,0)</f>
        <v>104</v>
      </c>
    </row>
    <row r="84" spans="2:12" x14ac:dyDescent="0.2">
      <c r="B84" t="s">
        <v>83</v>
      </c>
      <c r="C84" s="20">
        <f>IFERROR('Cash Flow Data'!E17,0)</f>
        <v>713</v>
      </c>
      <c r="D84" s="20">
        <f>IFERROR('Cash Flow Data'!F17,0)</f>
        <v>653</v>
      </c>
      <c r="E84" s="20">
        <f>IFERROR('Cash Flow Data'!G17,0)</f>
        <v>698</v>
      </c>
      <c r="F84" s="20">
        <f>IFERROR('Cash Flow Data'!H17,0)</f>
        <v>731</v>
      </c>
      <c r="G84" s="20">
        <f>IFERROR('Cash Flow Data'!I17,0)</f>
        <v>638</v>
      </c>
      <c r="H84" s="20">
        <f>IFERROR('Cash Flow Data'!J17,0)</f>
        <v>690</v>
      </c>
      <c r="I84" s="20">
        <f>IFERROR('Cash Flow Data'!K17,0)</f>
        <v>761</v>
      </c>
      <c r="J84" s="20">
        <f>IFERROR('Cash Flow Data'!L17,0)</f>
        <v>1104</v>
      </c>
      <c r="K84" s="20">
        <f>IFERROR('Cash Flow Data'!M17,0)</f>
        <v>428</v>
      </c>
      <c r="L84" s="20">
        <f>IFERROR('Cash Flow Data'!N17,0)</f>
        <v>653</v>
      </c>
    </row>
    <row r="85" spans="2:12" x14ac:dyDescent="0.2">
      <c r="B85" t="s">
        <v>84</v>
      </c>
      <c r="C85" s="20">
        <f>IFERROR('Cash Flow Data'!E18,0)</f>
        <v>95</v>
      </c>
      <c r="D85" s="20">
        <f>IFERROR('Cash Flow Data'!F18,0)</f>
        <v>40</v>
      </c>
      <c r="E85" s="20">
        <f>IFERROR('Cash Flow Data'!G18,0)</f>
        <v>80</v>
      </c>
      <c r="F85" s="20">
        <f>IFERROR('Cash Flow Data'!H18,0)</f>
        <v>58</v>
      </c>
      <c r="G85" s="20">
        <f>IFERROR('Cash Flow Data'!I18,0)</f>
        <v>620</v>
      </c>
      <c r="H85" s="20">
        <f>IFERROR('Cash Flow Data'!J18,0)</f>
        <v>1797</v>
      </c>
      <c r="I85" s="20">
        <f>IFERROR('Cash Flow Data'!K18,0)</f>
        <v>232</v>
      </c>
      <c r="J85" s="20">
        <f>IFERROR('Cash Flow Data'!L18,0)</f>
        <v>21</v>
      </c>
      <c r="K85" s="20">
        <f>IFERROR('Cash Flow Data'!M18,0)</f>
        <v>18</v>
      </c>
      <c r="L85" s="20">
        <f>IFERROR('Cash Flow Data'!N18,0)</f>
        <v>32</v>
      </c>
    </row>
    <row r="86" spans="2:12" x14ac:dyDescent="0.2">
      <c r="B86" t="s">
        <v>85</v>
      </c>
      <c r="C86" s="20">
        <f>IFERROR('Cash Flow Data'!E19,0)</f>
        <v>0</v>
      </c>
      <c r="D86" s="20">
        <f>IFERROR('Cash Flow Data'!F19,0)</f>
        <v>0</v>
      </c>
      <c r="E86" s="20">
        <f>IFERROR('Cash Flow Data'!G19,0)</f>
        <v>0</v>
      </c>
      <c r="F86" s="20">
        <f>IFERROR('Cash Flow Data'!H19,0)</f>
        <v>0</v>
      </c>
      <c r="G86" s="20">
        <f>IFERROR('Cash Flow Data'!I19,0)</f>
        <v>0</v>
      </c>
      <c r="H86" s="20">
        <f>IFERROR('Cash Flow Data'!J19,0)</f>
        <v>0</v>
      </c>
      <c r="I86" s="20">
        <f>IFERROR('Cash Flow Data'!K19,0)</f>
        <v>0</v>
      </c>
      <c r="J86" s="20">
        <f>IFERROR('Cash Flow Data'!L19,0)</f>
        <v>0</v>
      </c>
      <c r="K86" s="20">
        <f>IFERROR('Cash Flow Data'!M19,0)</f>
        <v>0</v>
      </c>
      <c r="L86" s="20">
        <f>IFERROR('Cash Flow Data'!N19,0)</f>
        <v>0</v>
      </c>
    </row>
    <row r="87" spans="2:12" x14ac:dyDescent="0.2">
      <c r="B87" t="s">
        <v>86</v>
      </c>
      <c r="C87" s="20">
        <f>IFERROR('Cash Flow Data'!E20,0)</f>
        <v>0</v>
      </c>
      <c r="D87" s="20">
        <f>IFERROR('Cash Flow Data'!F20,0)</f>
        <v>0</v>
      </c>
      <c r="E87" s="20">
        <f>IFERROR('Cash Flow Data'!G20,0)</f>
        <v>-160</v>
      </c>
      <c r="F87" s="20">
        <f>IFERROR('Cash Flow Data'!H20,0)</f>
        <v>0</v>
      </c>
      <c r="G87" s="20">
        <f>IFERROR('Cash Flow Data'!I20,0)</f>
        <v>-107</v>
      </c>
      <c r="H87" s="20">
        <f>IFERROR('Cash Flow Data'!J20,0)</f>
        <v>-4</v>
      </c>
      <c r="I87" s="20">
        <f>IFERROR('Cash Flow Data'!K20,0)</f>
        <v>-9</v>
      </c>
      <c r="J87" s="20">
        <f>IFERROR('Cash Flow Data'!L20,0)</f>
        <v>-606</v>
      </c>
      <c r="K87" s="20">
        <f>IFERROR('Cash Flow Data'!M20,0)</f>
        <v>-10</v>
      </c>
      <c r="L87" s="20">
        <f>IFERROR('Cash Flow Data'!N20,0)</f>
        <v>0</v>
      </c>
    </row>
    <row r="88" spans="2:12" x14ac:dyDescent="0.2">
      <c r="B88" t="s">
        <v>87</v>
      </c>
      <c r="C88" s="20">
        <f>IFERROR('Cash Flow Data'!E21,0)</f>
        <v>0</v>
      </c>
      <c r="D88" s="20">
        <f>IFERROR('Cash Flow Data'!F21,0)</f>
        <v>0</v>
      </c>
      <c r="E88" s="20">
        <f>IFERROR('Cash Flow Data'!G21,0)</f>
        <v>0</v>
      </c>
      <c r="F88" s="20">
        <f>IFERROR('Cash Flow Data'!H21,0)</f>
        <v>0</v>
      </c>
      <c r="G88" s="20">
        <f>IFERROR('Cash Flow Data'!I21,0)</f>
        <v>0</v>
      </c>
      <c r="H88" s="20">
        <f>IFERROR('Cash Flow Data'!J21,0)</f>
        <v>14</v>
      </c>
      <c r="I88" s="20">
        <f>IFERROR('Cash Flow Data'!K21,0)</f>
        <v>533</v>
      </c>
      <c r="J88" s="20">
        <f>IFERROR('Cash Flow Data'!L21,0)</f>
        <v>0</v>
      </c>
      <c r="K88" s="20">
        <f>IFERROR('Cash Flow Data'!M21,0)</f>
        <v>0</v>
      </c>
      <c r="L88" s="20">
        <f>IFERROR('Cash Flow Data'!N21,0)</f>
        <v>0</v>
      </c>
    </row>
    <row r="89" spans="2:12" x14ac:dyDescent="0.2">
      <c r="B89" t="s">
        <v>88</v>
      </c>
      <c r="C89" s="20">
        <f>IFERROR('Cash Flow Data'!E22,0)</f>
        <v>0</v>
      </c>
      <c r="D89" s="20">
        <f>IFERROR('Cash Flow Data'!F22,0)</f>
        <v>-185</v>
      </c>
      <c r="E89" s="20">
        <f>IFERROR('Cash Flow Data'!G22,0)</f>
        <v>0</v>
      </c>
      <c r="F89" s="20">
        <f>IFERROR('Cash Flow Data'!H22,0)</f>
        <v>-111</v>
      </c>
      <c r="G89" s="20">
        <f>IFERROR('Cash Flow Data'!I22,0)</f>
        <v>0</v>
      </c>
      <c r="H89" s="20">
        <f>IFERROR('Cash Flow Data'!J22,0)</f>
        <v>0</v>
      </c>
      <c r="I89" s="20">
        <f>IFERROR('Cash Flow Data'!K22,0)</f>
        <v>-8</v>
      </c>
      <c r="J89" s="20">
        <f>IFERROR('Cash Flow Data'!L22,0)</f>
        <v>-27</v>
      </c>
      <c r="K89" s="20">
        <f>IFERROR('Cash Flow Data'!M22,0)</f>
        <v>0</v>
      </c>
      <c r="L89" s="20">
        <f>IFERROR('Cash Flow Data'!N22,0)</f>
        <v>-98</v>
      </c>
    </row>
    <row r="90" spans="2:12" x14ac:dyDescent="0.2">
      <c r="B90" t="s">
        <v>89</v>
      </c>
      <c r="C90" s="20">
        <f>IFERROR('Cash Flow Data'!E23,0)</f>
        <v>45</v>
      </c>
      <c r="D90" s="20">
        <f>IFERROR('Cash Flow Data'!F23,0)</f>
        <v>0</v>
      </c>
      <c r="E90" s="20">
        <f>IFERROR('Cash Flow Data'!G23,0)</f>
        <v>0</v>
      </c>
      <c r="F90" s="20">
        <f>IFERROR('Cash Flow Data'!H23,0)</f>
        <v>0</v>
      </c>
      <c r="G90" s="20">
        <f>IFERROR('Cash Flow Data'!I23,0)</f>
        <v>0</v>
      </c>
      <c r="H90" s="20">
        <f>IFERROR('Cash Flow Data'!J23,0)</f>
        <v>0</v>
      </c>
      <c r="I90" s="20">
        <f>IFERROR('Cash Flow Data'!K23,0)</f>
        <v>0</v>
      </c>
      <c r="J90" s="20">
        <f>IFERROR('Cash Flow Data'!L23,0)</f>
        <v>0</v>
      </c>
      <c r="K90" s="20">
        <f>IFERROR('Cash Flow Data'!M23,0)</f>
        <v>0</v>
      </c>
      <c r="L90" s="20">
        <f>IFERROR('Cash Flow Data'!N23,0)</f>
        <v>0</v>
      </c>
    </row>
    <row r="91" spans="2:12" x14ac:dyDescent="0.2">
      <c r="B91" t="s">
        <v>90</v>
      </c>
      <c r="C91" s="20">
        <f>IFERROR('Cash Flow Data'!E24,0)</f>
        <v>-5103</v>
      </c>
      <c r="D91" s="20">
        <f>IFERROR('Cash Flow Data'!F24,0)</f>
        <v>-1149</v>
      </c>
      <c r="E91" s="20">
        <f>IFERROR('Cash Flow Data'!G24,0)</f>
        <v>456</v>
      </c>
      <c r="F91" s="20">
        <f>IFERROR('Cash Flow Data'!H24,0)</f>
        <v>-1289</v>
      </c>
      <c r="G91" s="20">
        <f>IFERROR('Cash Flow Data'!I24,0)</f>
        <v>-26663</v>
      </c>
      <c r="H91" s="20">
        <f>IFERROR('Cash Flow Data'!J24,0)</f>
        <v>5360</v>
      </c>
      <c r="I91" s="20">
        <f>IFERROR('Cash Flow Data'!K24,0)</f>
        <v>7335</v>
      </c>
      <c r="J91" s="20">
        <f>IFERROR('Cash Flow Data'!L24,0)</f>
        <v>-2659</v>
      </c>
      <c r="K91" s="20">
        <f>IFERROR('Cash Flow Data'!M24,0)</f>
        <v>1051</v>
      </c>
      <c r="L91" s="20">
        <f>IFERROR('Cash Flow Data'!N24,0)</f>
        <v>12813</v>
      </c>
    </row>
    <row r="92" spans="2:12" x14ac:dyDescent="0.2">
      <c r="B92" s="12" t="s">
        <v>105</v>
      </c>
      <c r="C92" s="28">
        <f>SUM(C80:C91)</f>
        <v>-22969</v>
      </c>
      <c r="D92" s="28">
        <f t="shared" ref="D92:L92" si="22">SUM(D80:D91)</f>
        <v>-27991</v>
      </c>
      <c r="E92" s="28">
        <f t="shared" si="22"/>
        <v>-36233</v>
      </c>
      <c r="F92" s="28">
        <f t="shared" si="22"/>
        <v>-36694</v>
      </c>
      <c r="G92" s="28">
        <f t="shared" si="22"/>
        <v>-39572</v>
      </c>
      <c r="H92" s="28">
        <f t="shared" si="22"/>
        <v>-25140</v>
      </c>
      <c r="I92" s="28">
        <f t="shared" si="22"/>
        <v>-20879</v>
      </c>
      <c r="J92" s="28">
        <f t="shared" si="22"/>
        <v>-33116</v>
      </c>
      <c r="K92" s="28">
        <f t="shared" si="22"/>
        <v>-25671</v>
      </c>
      <c r="L92" s="28">
        <f t="shared" si="22"/>
        <v>-4442</v>
      </c>
    </row>
    <row r="94" spans="2:12" x14ac:dyDescent="0.2">
      <c r="B94" s="12" t="s">
        <v>106</v>
      </c>
    </row>
    <row r="95" spans="2:12" x14ac:dyDescent="0.2">
      <c r="B95" t="s">
        <v>91</v>
      </c>
      <c r="C95" s="20">
        <f>IFERROR('Cash Flow Data'!E26,0)</f>
        <v>1</v>
      </c>
      <c r="D95" s="20">
        <f>IFERROR('Cash Flow Data'!F26,0)</f>
        <v>0</v>
      </c>
      <c r="E95" s="20">
        <f>IFERROR('Cash Flow Data'!G26,0)</f>
        <v>0</v>
      </c>
      <c r="F95" s="20">
        <f>IFERROR('Cash Flow Data'!H26,0)</f>
        <v>7433</v>
      </c>
      <c r="G95" s="20">
        <f>IFERROR('Cash Flow Data'!I26,0)</f>
        <v>5</v>
      </c>
      <c r="H95" s="20">
        <f>IFERROR('Cash Flow Data'!J26,0)</f>
        <v>0</v>
      </c>
      <c r="I95" s="20">
        <f>IFERROR('Cash Flow Data'!K26,0)</f>
        <v>0</v>
      </c>
      <c r="J95" s="20">
        <f>IFERROR('Cash Flow Data'!L26,0)</f>
        <v>3889</v>
      </c>
      <c r="K95" s="20">
        <f>IFERROR('Cash Flow Data'!M26,0)</f>
        <v>2603</v>
      </c>
      <c r="L95" s="20">
        <f>IFERROR('Cash Flow Data'!N26,0)</f>
        <v>19</v>
      </c>
    </row>
    <row r="96" spans="2:12" x14ac:dyDescent="0.2">
      <c r="B96" t="s">
        <v>92</v>
      </c>
      <c r="C96" s="20">
        <f>IFERROR('Cash Flow Data'!E27,0)</f>
        <v>-97</v>
      </c>
      <c r="D96" s="20">
        <f>IFERROR('Cash Flow Data'!F27,0)</f>
        <v>-658</v>
      </c>
      <c r="E96" s="20">
        <f>IFERROR('Cash Flow Data'!G27,0)</f>
        <v>-744</v>
      </c>
      <c r="F96" s="20">
        <f>IFERROR('Cash Flow Data'!H27,0)</f>
        <v>0</v>
      </c>
      <c r="G96" s="20">
        <f>IFERROR('Cash Flow Data'!I27,0)</f>
        <v>0</v>
      </c>
      <c r="H96" s="20">
        <f>IFERROR('Cash Flow Data'!J27,0)</f>
        <v>0</v>
      </c>
      <c r="I96" s="20">
        <f>IFERROR('Cash Flow Data'!K27,0)</f>
        <v>0</v>
      </c>
      <c r="J96" s="20">
        <f>IFERROR('Cash Flow Data'!L27,0)</f>
        <v>0</v>
      </c>
      <c r="K96" s="20">
        <f>IFERROR('Cash Flow Data'!M27,0)</f>
        <v>0</v>
      </c>
      <c r="L96" s="20">
        <f>IFERROR('Cash Flow Data'!N27,0)</f>
        <v>0</v>
      </c>
    </row>
    <row r="97" spans="2:12" x14ac:dyDescent="0.2">
      <c r="B97" t="s">
        <v>93</v>
      </c>
      <c r="C97" s="20">
        <f>IFERROR('Cash Flow Data'!E28,0)</f>
        <v>27863</v>
      </c>
      <c r="D97" s="20">
        <f>IFERROR('Cash Flow Data'!F28,0)</f>
        <v>33258</v>
      </c>
      <c r="E97" s="20">
        <f>IFERROR('Cash Flow Data'!G28,0)</f>
        <v>36363</v>
      </c>
      <c r="F97" s="20">
        <f>IFERROR('Cash Flow Data'!H28,0)</f>
        <v>19519</v>
      </c>
      <c r="G97" s="20">
        <f>IFERROR('Cash Flow Data'!I28,0)</f>
        <v>33390</v>
      </c>
      <c r="H97" s="20">
        <f>IFERROR('Cash Flow Data'!J28,0)</f>
        <v>37482</v>
      </c>
      <c r="I97" s="20">
        <f>IFERROR('Cash Flow Data'!K28,0)</f>
        <v>51128</v>
      </c>
      <c r="J97" s="20">
        <f>IFERROR('Cash Flow Data'!L28,0)</f>
        <v>38297</v>
      </c>
      <c r="K97" s="20">
        <f>IFERROR('Cash Flow Data'!M28,0)</f>
        <v>46641</v>
      </c>
      <c r="L97" s="20">
        <f>IFERROR('Cash Flow Data'!N28,0)</f>
        <v>46578</v>
      </c>
    </row>
    <row r="98" spans="2:12" x14ac:dyDescent="0.2">
      <c r="B98" t="s">
        <v>94</v>
      </c>
      <c r="C98" s="20">
        <f>IFERROR('Cash Flow Data'!E29,0)</f>
        <v>-20395</v>
      </c>
      <c r="D98" s="20">
        <f>IFERROR('Cash Flow Data'!F29,0)</f>
        <v>-29141</v>
      </c>
      <c r="E98" s="20">
        <f>IFERROR('Cash Flow Data'!G29,0)</f>
        <v>-23332</v>
      </c>
      <c r="F98" s="20">
        <f>IFERROR('Cash Flow Data'!H29,0)</f>
        <v>-24924</v>
      </c>
      <c r="G98" s="20">
        <f>IFERROR('Cash Flow Data'!I29,0)</f>
        <v>-21732</v>
      </c>
      <c r="H98" s="20">
        <f>IFERROR('Cash Flow Data'!J29,0)</f>
        <v>-29964</v>
      </c>
      <c r="I98" s="20">
        <f>IFERROR('Cash Flow Data'!K29,0)</f>
        <v>-35198</v>
      </c>
      <c r="J98" s="20">
        <f>IFERROR('Cash Flow Data'!L29,0)</f>
        <v>-29847</v>
      </c>
      <c r="K98" s="20">
        <f>IFERROR('Cash Flow Data'!M29,0)</f>
        <v>-29709</v>
      </c>
      <c r="L98" s="20">
        <f>IFERROR('Cash Flow Data'!N29,0)</f>
        <v>-42816</v>
      </c>
    </row>
    <row r="99" spans="2:12" x14ac:dyDescent="0.2">
      <c r="B99" t="s">
        <v>95</v>
      </c>
      <c r="C99" s="20">
        <f>IFERROR('Cash Flow Data'!E30,0)</f>
        <v>0</v>
      </c>
      <c r="D99" s="20">
        <f>IFERROR('Cash Flow Data'!F30,0)</f>
        <v>0</v>
      </c>
      <c r="E99" s="20">
        <f>IFERROR('Cash Flow Data'!G30,0)</f>
        <v>0</v>
      </c>
      <c r="F99" s="20">
        <f>IFERROR('Cash Flow Data'!H30,0)</f>
        <v>0</v>
      </c>
      <c r="G99" s="20">
        <f>IFERROR('Cash Flow Data'!I30,0)</f>
        <v>0</v>
      </c>
      <c r="H99" s="20">
        <f>IFERROR('Cash Flow Data'!J30,0)</f>
        <v>0</v>
      </c>
      <c r="I99" s="20">
        <f>IFERROR('Cash Flow Data'!K30,0)</f>
        <v>0</v>
      </c>
      <c r="J99" s="20">
        <f>IFERROR('Cash Flow Data'!L30,0)</f>
        <v>0</v>
      </c>
      <c r="K99" s="20">
        <f>IFERROR('Cash Flow Data'!M30,0)</f>
        <v>0</v>
      </c>
      <c r="L99" s="20">
        <f>IFERROR('Cash Flow Data'!N30,0)</f>
        <v>0</v>
      </c>
    </row>
    <row r="100" spans="2:12" x14ac:dyDescent="0.2">
      <c r="B100" t="s">
        <v>96</v>
      </c>
      <c r="C100" s="20">
        <f>IFERROR('Cash Flow Data'!E31,0)</f>
        <v>-4666</v>
      </c>
      <c r="D100" s="20">
        <f>IFERROR('Cash Flow Data'!F31,0)</f>
        <v>-6171</v>
      </c>
      <c r="E100" s="20">
        <f>IFERROR('Cash Flow Data'!G31,0)</f>
        <v>-6307</v>
      </c>
      <c r="F100" s="20">
        <f>IFERROR('Cash Flow Data'!H31,0)</f>
        <v>-5716</v>
      </c>
      <c r="G100" s="20">
        <f>IFERROR('Cash Flow Data'!I31,0)</f>
        <v>-5336</v>
      </c>
      <c r="H100" s="20">
        <f>IFERROR('Cash Flow Data'!J31,0)</f>
        <v>-5411</v>
      </c>
      <c r="I100" s="20">
        <f>IFERROR('Cash Flow Data'!K31,0)</f>
        <v>-7005</v>
      </c>
      <c r="J100" s="20">
        <f>IFERROR('Cash Flow Data'!L31,0)</f>
        <v>-7518</v>
      </c>
      <c r="K100" s="20">
        <f>IFERROR('Cash Flow Data'!M31,0)</f>
        <v>-8123</v>
      </c>
      <c r="L100" s="20">
        <f>IFERROR('Cash Flow Data'!N31,0)</f>
        <v>-9251</v>
      </c>
    </row>
    <row r="101" spans="2:12" x14ac:dyDescent="0.2">
      <c r="B101" t="s">
        <v>97</v>
      </c>
      <c r="C101" s="20">
        <f>IFERROR('Cash Flow Data'!E32,0)</f>
        <v>-1551</v>
      </c>
      <c r="D101" s="20">
        <f>IFERROR('Cash Flow Data'!F32,0)</f>
        <v>-722</v>
      </c>
      <c r="E101" s="20">
        <f>IFERROR('Cash Flow Data'!G32,0)</f>
        <v>-720</v>
      </c>
      <c r="F101" s="20">
        <f>IFERROR('Cash Flow Data'!H32,0)</f>
        <v>-108</v>
      </c>
      <c r="G101" s="20">
        <f>IFERROR('Cash Flow Data'!I32,0)</f>
        <v>-121</v>
      </c>
      <c r="H101" s="20">
        <f>IFERROR('Cash Flow Data'!J32,0)</f>
        <v>-96</v>
      </c>
      <c r="I101" s="20">
        <f>IFERROR('Cash Flow Data'!K32,0)</f>
        <v>-95</v>
      </c>
      <c r="J101" s="20">
        <f>IFERROR('Cash Flow Data'!L32,0)</f>
        <v>-57</v>
      </c>
      <c r="K101" s="20">
        <f>IFERROR('Cash Flow Data'!M32,0)</f>
        <v>-30</v>
      </c>
      <c r="L101" s="20">
        <f>IFERROR('Cash Flow Data'!N32,0)</f>
        <v>-100</v>
      </c>
    </row>
    <row r="102" spans="2:12" x14ac:dyDescent="0.2">
      <c r="B102" t="s">
        <v>98</v>
      </c>
      <c r="C102" s="20">
        <f>IFERROR('Cash Flow Data'!E33,0)</f>
        <v>0</v>
      </c>
      <c r="D102" s="20">
        <f>IFERROR('Cash Flow Data'!F33,0)</f>
        <v>0</v>
      </c>
      <c r="E102" s="20">
        <f>IFERROR('Cash Flow Data'!G33,0)</f>
        <v>0</v>
      </c>
      <c r="F102" s="20">
        <f>IFERROR('Cash Flow Data'!H33,0)</f>
        <v>0</v>
      </c>
      <c r="G102" s="20">
        <f>IFERROR('Cash Flow Data'!I33,0)</f>
        <v>0</v>
      </c>
      <c r="H102" s="20">
        <f>IFERROR('Cash Flow Data'!J33,0)</f>
        <v>0</v>
      </c>
      <c r="I102" s="20">
        <f>IFERROR('Cash Flow Data'!K33,0)</f>
        <v>0</v>
      </c>
      <c r="J102" s="20">
        <f>IFERROR('Cash Flow Data'!L33,0)</f>
        <v>-1346</v>
      </c>
      <c r="K102" s="20">
        <f>IFERROR('Cash Flow Data'!M33,0)</f>
        <v>-1477</v>
      </c>
      <c r="L102" s="20">
        <f>IFERROR('Cash Flow Data'!N33,0)</f>
        <v>-1559</v>
      </c>
    </row>
    <row r="103" spans="2:12" x14ac:dyDescent="0.2">
      <c r="B103" t="s">
        <v>99</v>
      </c>
      <c r="C103" s="20">
        <f>IFERROR('Cash Flow Data'!E34,0)</f>
        <v>-2849</v>
      </c>
      <c r="D103" s="20">
        <f>IFERROR('Cash Flow Data'!F34,0)</f>
        <v>-450</v>
      </c>
      <c r="E103" s="20">
        <f>IFERROR('Cash Flow Data'!G34,0)</f>
        <v>-57</v>
      </c>
      <c r="F103" s="20">
        <f>IFERROR('Cash Flow Data'!H34,0)</f>
        <v>0</v>
      </c>
      <c r="G103" s="20">
        <f>IFERROR('Cash Flow Data'!I34,0)</f>
        <v>0</v>
      </c>
      <c r="H103" s="20">
        <f>IFERROR('Cash Flow Data'!J34,0)</f>
        <v>0</v>
      </c>
      <c r="I103" s="20">
        <f>IFERROR('Cash Flow Data'!K34,0)</f>
        <v>0</v>
      </c>
      <c r="J103" s="20">
        <f>IFERROR('Cash Flow Data'!L34,0)</f>
        <v>-29</v>
      </c>
      <c r="K103" s="20">
        <f>IFERROR('Cash Flow Data'!M34,0)</f>
        <v>0</v>
      </c>
      <c r="L103" s="20">
        <f>IFERROR('Cash Flow Data'!N34,0)</f>
        <v>3750</v>
      </c>
    </row>
    <row r="104" spans="2:12" x14ac:dyDescent="0.2">
      <c r="B104" s="12" t="s">
        <v>107</v>
      </c>
      <c r="C104" s="28">
        <f>SUM(C95:C103)</f>
        <v>-1694</v>
      </c>
      <c r="D104" s="28">
        <f t="shared" ref="D104:L104" si="23">SUM(D95:D103)</f>
        <v>-3884</v>
      </c>
      <c r="E104" s="28">
        <f t="shared" si="23"/>
        <v>5203</v>
      </c>
      <c r="F104" s="28">
        <f t="shared" si="23"/>
        <v>-3796</v>
      </c>
      <c r="G104" s="28">
        <f t="shared" si="23"/>
        <v>6206</v>
      </c>
      <c r="H104" s="28">
        <f t="shared" si="23"/>
        <v>2011</v>
      </c>
      <c r="I104" s="28">
        <f t="shared" si="23"/>
        <v>8830</v>
      </c>
      <c r="J104" s="28">
        <f t="shared" si="23"/>
        <v>3389</v>
      </c>
      <c r="K104" s="28">
        <f t="shared" si="23"/>
        <v>9905</v>
      </c>
      <c r="L104" s="28">
        <f t="shared" si="23"/>
        <v>-3379</v>
      </c>
    </row>
    <row r="106" spans="2:12" x14ac:dyDescent="0.2">
      <c r="B106" s="12" t="s">
        <v>52</v>
      </c>
      <c r="C106" s="27">
        <f>IFERROR(C77+C92+C104,0)</f>
        <v>-2504</v>
      </c>
      <c r="D106" s="27">
        <f t="shared" ref="D106:L106" si="24">IFERROR(D77+D92+D104,0)</f>
        <v>8433</v>
      </c>
      <c r="E106" s="27">
        <f t="shared" si="24"/>
        <v>830</v>
      </c>
      <c r="F106" s="27">
        <f t="shared" si="24"/>
        <v>-1278</v>
      </c>
      <c r="G106" s="27">
        <f t="shared" si="24"/>
        <v>88</v>
      </c>
      <c r="H106" s="27">
        <f t="shared" si="24"/>
        <v>-5706</v>
      </c>
      <c r="I106" s="27">
        <f t="shared" si="24"/>
        <v>-378</v>
      </c>
      <c r="J106" s="27">
        <f t="shared" si="24"/>
        <v>1971</v>
      </c>
      <c r="K106" s="27">
        <f t="shared" si="24"/>
        <v>13141</v>
      </c>
      <c r="L106" s="27">
        <f t="shared" si="24"/>
        <v>-4013</v>
      </c>
    </row>
  </sheetData>
  <mergeCells count="1">
    <mergeCell ref="B2:M2"/>
  </mergeCells>
  <pageMargins left="0.7" right="0.7" top="0.75" bottom="0.75" header="0.3" footer="0.3"/>
  <ignoredErrors>
    <ignoredError sqref="M5 M8 C13 K13 D13:J13 L13 M19 M22 M28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19C6-D868-174D-8DD1-01434E066826}">
  <dimension ref="B3:L42"/>
  <sheetViews>
    <sheetView showGridLines="0" zoomScale="110" zoomScaleNormal="110" workbookViewId="0">
      <selection activeCell="B40" sqref="B40"/>
    </sheetView>
  </sheetViews>
  <sheetFormatPr baseColWidth="10" defaultRowHeight="15" x14ac:dyDescent="0.2"/>
  <cols>
    <col min="1" max="1" width="2" customWidth="1"/>
    <col min="2" max="2" width="27" customWidth="1"/>
    <col min="3" max="3" width="12.6640625" bestFit="1" customWidth="1"/>
  </cols>
  <sheetData>
    <row r="3" spans="2:12" x14ac:dyDescent="0.2">
      <c r="B3" s="91" t="str">
        <f>"Ratio Analysis"&amp;" - "&amp;'Data Sheet'!B1</f>
        <v>Ratio Analysis - TATA MOTORS LTD</v>
      </c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2:12" x14ac:dyDescent="0.2">
      <c r="B4" s="17" t="s">
        <v>56</v>
      </c>
      <c r="C4" s="18">
        <f>'Data Sheet'!B16</f>
        <v>41364</v>
      </c>
      <c r="D4" s="18">
        <f>'Data Sheet'!C16</f>
        <v>41729</v>
      </c>
      <c r="E4" s="18">
        <f>'Data Sheet'!D16</f>
        <v>42094</v>
      </c>
      <c r="F4" s="18">
        <f>'Data Sheet'!E16</f>
        <v>42460</v>
      </c>
      <c r="G4" s="18">
        <f>'Data Sheet'!F16</f>
        <v>42825</v>
      </c>
      <c r="H4" s="18">
        <f>'Data Sheet'!G16</f>
        <v>43190</v>
      </c>
      <c r="I4" s="18">
        <f>'Data Sheet'!H16</f>
        <v>43555</v>
      </c>
      <c r="J4" s="18">
        <f>'Data Sheet'!I16</f>
        <v>43921</v>
      </c>
      <c r="K4" s="18">
        <f>'Data Sheet'!J16</f>
        <v>44286</v>
      </c>
      <c r="L4" s="18">
        <f>'Data Sheet'!K16</f>
        <v>44651</v>
      </c>
    </row>
    <row r="6" spans="2:12" x14ac:dyDescent="0.2">
      <c r="B6" t="s">
        <v>60</v>
      </c>
      <c r="D6" s="29">
        <f>IFERROR('Historical Data'!D6,0)</f>
        <v>0.23327688164197458</v>
      </c>
      <c r="E6" s="29">
        <f>IFERROR('Historical Data'!E6,0)</f>
        <v>0.13024457030826198</v>
      </c>
      <c r="F6" s="29">
        <f>IFERROR('Historical Data'!F6,0)</f>
        <v>3.75690010654397E-2</v>
      </c>
      <c r="G6" s="29">
        <f>IFERROR('Historical Data'!G6,0)</f>
        <v>-1.2280329732469508E-2</v>
      </c>
      <c r="H6" s="29">
        <f>IFERROR('Historical Data'!H6,0)</f>
        <v>8.104774581985974E-2</v>
      </c>
      <c r="I6" s="29">
        <f>IFERROR('Historical Data'!I6,0)</f>
        <v>3.5629919045237157E-2</v>
      </c>
      <c r="J6" s="29">
        <f>IFERROR('Historical Data'!J6,0)</f>
        <v>-0.135360159555724</v>
      </c>
      <c r="K6" s="29">
        <f>IFERROR('Historical Data'!K6,0)</f>
        <v>-4.3181168490336042E-2</v>
      </c>
      <c r="L6" s="29">
        <f>IFERROR('Historical Data'!L6,0)</f>
        <v>0.11472967306158344</v>
      </c>
    </row>
    <row r="7" spans="2:12" x14ac:dyDescent="0.2">
      <c r="B7" t="s">
        <v>127</v>
      </c>
      <c r="D7" s="29">
        <f>IFERROR('Historical Data'!D16/'Historical Data'!C16-1,0)</f>
        <v>0.41703481625859018</v>
      </c>
      <c r="E7" s="29">
        <f>IFERROR('Historical Data'!E16/'Historical Data'!D16-1,0)</f>
        <v>0.12582115468924693</v>
      </c>
      <c r="F7" s="29">
        <f>IFERROR('Historical Data'!F16/'Historical Data'!E16-1,0)</f>
        <v>-2.1494113584437979E-2</v>
      </c>
      <c r="G7" s="29">
        <f>IFERROR('Historical Data'!G16/'Historical Data'!F16-1,0)</f>
        <v>-0.22936587208052905</v>
      </c>
      <c r="H7" s="29">
        <f>IFERROR('Historical Data'!H16/'Historical Data'!G16-1,0)</f>
        <v>6.3165689322506102E-2</v>
      </c>
      <c r="I7" s="29">
        <f>IFERROR('Historical Data'!I16/'Historical Data'!H16-1,0)</f>
        <v>-0.21595203460649259</v>
      </c>
      <c r="J7" s="29">
        <f>IFERROR('Historical Data'!J16/'Historical Data'!I16-1,0)</f>
        <v>-0.27072537547138131</v>
      </c>
      <c r="K7" s="29">
        <f>IFERROR('Historical Data'!K16/'Historical Data'!J16-1,0)</f>
        <v>0.79503554497758966</v>
      </c>
      <c r="L7" s="29">
        <f>IFERROR('Historical Data'!L16/'Historical Data'!K16-1,0)</f>
        <v>-0.234374182150762</v>
      </c>
    </row>
    <row r="8" spans="2:12" x14ac:dyDescent="0.2">
      <c r="B8" t="s">
        <v>154</v>
      </c>
      <c r="D8" s="29">
        <f>IFERROR('Historical Data'!D25/'Historical Data'!C25-1,0)</f>
        <v>0.41619195426682576</v>
      </c>
      <c r="E8" s="29">
        <f>IFERROR('Historical Data'!E25/'Historical Data'!D25-1,0)</f>
        <v>0.103163815795007</v>
      </c>
      <c r="F8" s="29">
        <f>IFERROR('Historical Data'!F25/'Historical Data'!E25-1,0)</f>
        <v>-0.19978245260625749</v>
      </c>
      <c r="G8" s="29">
        <f>IFERROR('Historical Data'!G25/'Historical Data'!F25-1,0)</f>
        <v>-0.55668251823863213</v>
      </c>
      <c r="H8" s="29">
        <f>IFERROR('Historical Data'!H25/'Historical Data'!G25-1,0)</f>
        <v>-0.29861436616351744</v>
      </c>
      <c r="I8" s="29">
        <f>IFERROR('Historical Data'!I25/'Historical Data'!H25-1,0)</f>
        <v>-1.897095149646705</v>
      </c>
      <c r="J8" s="29">
        <f>IFERROR('Historical Data'!J25/'Historical Data'!I25-1,0)</f>
        <v>1.2800251873039095</v>
      </c>
      <c r="K8" s="29">
        <f>IFERROR('Historical Data'!K25/'Historical Data'!J25-1,0)</f>
        <v>-1.0602479570180365</v>
      </c>
      <c r="L8" s="29">
        <f>IFERROR('Historical Data'!L25/'Historical Data'!K25-1,0)</f>
        <v>-15.64914925025267</v>
      </c>
    </row>
    <row r="9" spans="2:12" x14ac:dyDescent="0.2">
      <c r="B9" t="s">
        <v>128</v>
      </c>
      <c r="D9" s="29">
        <f>IFERROR('Historical Data'!D31/'Historical Data'!C31-1,0)</f>
        <v>0.47662871112334759</v>
      </c>
      <c r="E9" s="29">
        <f>IFERROR('Historical Data'!E31/'Historical Data'!D31-1,0)</f>
        <v>-6.4185676009415382E-2</v>
      </c>
      <c r="F9" s="29">
        <f>IFERROR('Historical Data'!F31/'Historical Data'!E31-1,0)</f>
        <v>3.1824673563310757E-2</v>
      </c>
      <c r="G9" s="29">
        <f>IFERROR('Historical Data'!G31/'Historical Data'!F31-1,0)</f>
        <v>-0.69539895165986787</v>
      </c>
      <c r="H9" s="29">
        <f>IFERROR('Historical Data'!H31/'Historical Data'!G31-1,0)</f>
        <v>-0.79011124197155724</v>
      </c>
      <c r="I9" s="29">
        <f>IFERROR('Historical Data'!I31/'Historical Data'!H31-1,0)</f>
        <v>-3.5528470983790919</v>
      </c>
      <c r="J9" s="29">
        <f>IFERROR('Historical Data'!J31/'Historical Data'!I31-1,0)</f>
        <v>3.9286702707513577</v>
      </c>
      <c r="K9" s="29">
        <f>IFERROR('Historical Data'!K31/'Historical Data'!J31-1,0)</f>
        <v>-0.82862505348950144</v>
      </c>
      <c r="L9" s="29">
        <f>IFERROR('Historical Data'!L31/'Historical Data'!K31-1,0)</f>
        <v>6.1952157445306248</v>
      </c>
    </row>
    <row r="10" spans="2:12" x14ac:dyDescent="0.2">
      <c r="B10" t="s">
        <v>129</v>
      </c>
      <c r="D10" s="29">
        <f>IFERROR('Historical Data'!D39/'Historical Data'!C39-1,0)</f>
        <v>-1.6039735328686744E-3</v>
      </c>
      <c r="E10" s="29">
        <f>IFERROR('Historical Data'!E39/'Historical Data'!D39-1,0)</f>
        <v>-1</v>
      </c>
      <c r="F10" s="29">
        <f>IFERROR('Historical Data'!F39/'Historical Data'!E39-1,0)</f>
        <v>0</v>
      </c>
      <c r="G10" s="29">
        <f>IFERROR('Historical Data'!G39/'Historical Data'!F39-1,0)</f>
        <v>-1</v>
      </c>
      <c r="H10" s="29">
        <f>IFERROR('Historical Data'!H39/'Historical Data'!G39-1,0)</f>
        <v>0</v>
      </c>
      <c r="I10" s="29">
        <f>IFERROR('Historical Data'!I39/'Historical Data'!H39-1,0)</f>
        <v>0</v>
      </c>
      <c r="J10" s="29">
        <f>IFERROR('Historical Data'!J39/'Historical Data'!I39-1,0)</f>
        <v>0</v>
      </c>
      <c r="K10" s="29">
        <f>IFERROR('Historical Data'!K39/'Historical Data'!J39-1,0)</f>
        <v>0</v>
      </c>
      <c r="L10" s="29">
        <f>IFERROR('Historical Data'!L39/'Historical Data'!K39-1,0)</f>
        <v>0</v>
      </c>
    </row>
    <row r="12" spans="2:12" x14ac:dyDescent="0.2">
      <c r="B12" t="s">
        <v>130</v>
      </c>
      <c r="C12" s="29">
        <f>IFERROR('Historical Data'!C11/'Historical Data'!C5,0)</f>
        <v>0.24658767243583429</v>
      </c>
      <c r="D12" s="29">
        <f>IFERROR('Historical Data'!D11/'Historical Data'!D5,0)</f>
        <v>0.22635301098646982</v>
      </c>
      <c r="E12" s="29">
        <f>IFERROR('Historical Data'!E11/'Historical Data'!E5,0)</f>
        <v>0.22914703499762759</v>
      </c>
      <c r="F12" s="29">
        <f>IFERROR('Historical Data'!F11/'Historical Data'!F5,0)</f>
        <v>0.24734524196690946</v>
      </c>
      <c r="G12" s="29">
        <f>IFERROR('Historical Data'!G11/'Historical Data'!G5,0)</f>
        <v>0.23819078253229964</v>
      </c>
      <c r="H12" s="29">
        <f>IFERROR('Historical Data'!H11/'Historical Data'!H5,0)</f>
        <v>0.21649990080619999</v>
      </c>
      <c r="I12" s="29">
        <f>IFERROR('Historical Data'!I11/'Historical Data'!I5,0)</f>
        <v>0.19571167496416494</v>
      </c>
      <c r="J12" s="29">
        <f>IFERROR('Historical Data'!J11/'Historical Data'!J5,0)</f>
        <v>0.19417127271491774</v>
      </c>
      <c r="K12" s="29">
        <f>IFERROR('Historical Data'!K11/'Historical Data'!K5,0)</f>
        <v>0.2180538622208833</v>
      </c>
      <c r="L12" s="29">
        <f>IFERROR('Historical Data'!L11/'Historical Data'!L5,0)</f>
        <v>0.19807108271747378</v>
      </c>
    </row>
    <row r="13" spans="2:12" x14ac:dyDescent="0.2">
      <c r="B13" t="s">
        <v>131</v>
      </c>
      <c r="C13" s="29">
        <f>IFERROR('Historical Data'!C17,0)</f>
        <v>0.13028036202037277</v>
      </c>
      <c r="D13" s="29">
        <f>IFERROR('Historical Data'!D17,0)</f>
        <v>0.14969210207836775</v>
      </c>
      <c r="E13" s="29">
        <f>IFERROR('Historical Data'!E17,0)</f>
        <v>0.14910625508580397</v>
      </c>
      <c r="F13" s="29">
        <f>IFERROR('Historical Data'!F17,0)</f>
        <v>0.14061845347443788</v>
      </c>
      <c r="G13" s="29">
        <f>IFERROR('Historical Data'!G17,0)</f>
        <v>0.10971268723777329</v>
      </c>
      <c r="H13" s="29">
        <f>IFERROR('Historical Data'!H17,0)</f>
        <v>0.10789788444182975</v>
      </c>
      <c r="I13" s="29">
        <f>IFERROR('Historical Data'!I17,0)</f>
        <v>8.1686628795807431E-2</v>
      </c>
      <c r="J13" s="29">
        <f>IFERROR('Historical Data'!J17,0)</f>
        <v>6.8898034485042198E-2</v>
      </c>
      <c r="K13" s="29">
        <f>IFERROR('Historical Data'!K17,0)</f>
        <v>0.12925583904385496</v>
      </c>
      <c r="L13" s="29">
        <f>IFERROR('Historical Data'!L17,0)</f>
        <v>8.877632835227646E-2</v>
      </c>
    </row>
    <row r="14" spans="2:12" x14ac:dyDescent="0.2">
      <c r="B14" t="s">
        <v>132</v>
      </c>
      <c r="C14" s="29">
        <f>IFERROR(('Historical Data'!C16-'Historical Data'!C22)/'Historical Data'!C5,0)</f>
        <v>9.0017786175937281E-2</v>
      </c>
      <c r="D14" s="29">
        <f>IFERROR(('Historical Data'!D16-'Historical Data'!D22)/'Historical Data'!D5,0)</f>
        <v>0.10211238357890337</v>
      </c>
      <c r="E14" s="29">
        <f>IFERROR(('Historical Data'!E16-'Historical Data'!E22)/'Historical Data'!E5,0)</f>
        <v>9.8229670900837146E-2</v>
      </c>
      <c r="F14" s="29">
        <f>IFERROR(('Historical Data'!F16-'Historical Data'!F22)/'Historical Data'!F5,0)</f>
        <v>7.941702777851016E-2</v>
      </c>
      <c r="G14" s="29">
        <f>IFERROR(('Historical Data'!G16-'Historical Data'!G22)/'Historical Data'!G5,0)</f>
        <v>4.3322300645279484E-2</v>
      </c>
      <c r="H14" s="29">
        <f>IFERROR(('Historical Data'!H16-'Historical Data'!H22)/'Historical Data'!H5,0)</f>
        <v>3.3970412259310953E-2</v>
      </c>
      <c r="I14" s="29">
        <f>IFERROR(('Historical Data'!I16-'Historical Data'!I22)/'Historical Data'!I5,0)</f>
        <v>3.5560233478087663E-3</v>
      </c>
      <c r="J14" s="29">
        <f>IFERROR(('Historical Data'!J16-'Historical Data'!J22)/'Historical Data'!J5,0)</f>
        <v>-1.3170363258273456E-2</v>
      </c>
      <c r="K14" s="29">
        <f>IFERROR(('Historical Data'!K16-'Historical Data'!K22)/'Historical Data'!K5,0)</f>
        <v>3.4991608110258483E-2</v>
      </c>
      <c r="L14" s="29">
        <f>IFERROR(('Historical Data'!L16-'Historical Data'!L22)/'Historical Data'!L5,0)</f>
        <v>-4.1514992694289269E-4</v>
      </c>
    </row>
    <row r="15" spans="2:12" x14ac:dyDescent="0.2">
      <c r="B15" t="s">
        <v>133</v>
      </c>
      <c r="C15" s="29">
        <f>IFERROR('Historical Data'!C26,0)</f>
        <v>7.115979967232848E-2</v>
      </c>
      <c r="D15" s="29">
        <f>IFERROR('Historical Data'!D26,0)</f>
        <v>8.1713958368390432E-2</v>
      </c>
      <c r="E15" s="29">
        <f>IFERROR('Historical Data'!E26,0)</f>
        <v>7.9756085085905037E-2</v>
      </c>
      <c r="F15" s="29">
        <f>IFERROR('Historical Data'!F26,0)</f>
        <v>6.1511300676516931E-2</v>
      </c>
      <c r="G15" s="29">
        <f>IFERROR('Historical Data'!G26,0)</f>
        <v>2.7608071132565179E-2</v>
      </c>
      <c r="H15" s="29">
        <f>IFERROR('Historical Data'!H26,0)</f>
        <v>1.7912163958707913E-2</v>
      </c>
      <c r="I15" s="29">
        <f>IFERROR('Historical Data'!I26,0)</f>
        <v>-1.5516078776333117E-2</v>
      </c>
      <c r="J15" s="29">
        <f>IFERROR('Historical Data'!J26,0)</f>
        <v>-4.0915360088026265E-2</v>
      </c>
      <c r="K15" s="29">
        <f>IFERROR('Historical Data'!K26,0)</f>
        <v>2.5763151547420113E-3</v>
      </c>
      <c r="L15" s="29">
        <f>IFERROR('Historical Data'!L26,0)</f>
        <v>-3.3856482095653805E-2</v>
      </c>
    </row>
    <row r="16" spans="2:12" x14ac:dyDescent="0.2">
      <c r="B16" t="s">
        <v>134</v>
      </c>
      <c r="C16" s="29">
        <f>IFERROR('Historical Data'!C32,0)</f>
        <v>5.1155529379871709E-2</v>
      </c>
      <c r="D16" s="29">
        <f>IFERROR('Historical Data'!D32,0)</f>
        <v>6.124960626397391E-2</v>
      </c>
      <c r="E16" s="29">
        <f>IFERROR('Historical Data'!E32,0)</f>
        <v>5.0713146858982282E-2</v>
      </c>
      <c r="F16" s="29">
        <f>IFERROR('Historical Data'!F32,0)</f>
        <v>5.0432381990407359E-2</v>
      </c>
      <c r="G16" s="29">
        <f>IFERROR('Historical Data'!G32,0)</f>
        <v>1.5552749314395296E-2</v>
      </c>
      <c r="H16" s="29">
        <f>IFERROR('Historical Data'!H32,0)</f>
        <v>3.01961430487095E-3</v>
      </c>
      <c r="I16" s="29">
        <f>IFERROR('Historical Data'!I32,0)</f>
        <v>-7.4434056747998256E-3</v>
      </c>
      <c r="J16" s="29">
        <f>IFERROR('Historical Data'!J32,0)</f>
        <v>-4.2429333632923408E-2</v>
      </c>
      <c r="K16" s="29">
        <f>IFERROR('Historical Data'!K32,0)</f>
        <v>-7.5994791724005731E-3</v>
      </c>
      <c r="L16" s="29">
        <f>IFERROR('Historical Data'!L32,0)</f>
        <v>-4.9052154538339235E-2</v>
      </c>
    </row>
    <row r="17" spans="2:12" x14ac:dyDescent="0.2">
      <c r="C17" t="s">
        <v>108</v>
      </c>
    </row>
    <row r="18" spans="2:12" x14ac:dyDescent="0.2">
      <c r="B18" t="s">
        <v>135</v>
      </c>
      <c r="C18" s="29">
        <f>IFERROR('Historical Data'!C14,0)</f>
        <v>0.11630731041546154</v>
      </c>
      <c r="D18" s="29">
        <f>IFERROR('Historical Data'!D14,0)</f>
        <v>7.6660908908102038E-2</v>
      </c>
      <c r="E18" s="29">
        <f>IFERROR('Historical Data'!E14,0)</f>
        <v>8.0040779911823637E-2</v>
      </c>
      <c r="F18" s="29">
        <f>IFERROR('Historical Data'!F14,0)</f>
        <v>0.10672678849247161</v>
      </c>
      <c r="G18" s="29">
        <f>IFERROR('Historical Data'!G14,0)</f>
        <v>0.12847809529452636</v>
      </c>
      <c r="H18" s="29">
        <f>IFERROR('Historical Data'!H14,0)</f>
        <v>0.10860201636437025</v>
      </c>
      <c r="I18" s="29">
        <f>IFERROR('Historical Data'!I14,0)</f>
        <v>0.11402504616835751</v>
      </c>
      <c r="J18" s="29">
        <f>IFERROR('Historical Data'!J14,0)</f>
        <v>0.12527323822987554</v>
      </c>
      <c r="K18" s="29">
        <f>IFERROR('Historical Data'!K14,0)</f>
        <v>8.8798023177028354E-2</v>
      </c>
      <c r="L18" s="29">
        <f>IFERROR('Historical Data'!L14,0)</f>
        <v>0.10929475436519734</v>
      </c>
    </row>
    <row r="19" spans="2:12" x14ac:dyDescent="0.2">
      <c r="B19" t="s">
        <v>112</v>
      </c>
      <c r="C19" s="29">
        <f>IFERROR('Historical Data'!C23,0)</f>
        <v>4.0262575844435503E-2</v>
      </c>
      <c r="D19" s="29">
        <f>IFERROR('Historical Data'!D23,0)</f>
        <v>4.757971849946438E-2</v>
      </c>
      <c r="E19" s="29">
        <f>IFERROR('Historical Data'!E23,0)</f>
        <v>5.0876584184966822E-2</v>
      </c>
      <c r="F19" s="29">
        <f>IFERROR('Historical Data'!F23,0)</f>
        <v>6.1201425695927715E-2</v>
      </c>
      <c r="G19" s="29">
        <f>IFERROR('Historical Data'!G23,0)</f>
        <v>6.63903865924938E-2</v>
      </c>
      <c r="H19" s="29">
        <f>IFERROR('Historical Data'!H23,0)</f>
        <v>7.3927472182518786E-2</v>
      </c>
      <c r="I19" s="29">
        <f>IFERROR('Historical Data'!I23,0)</f>
        <v>7.8130605447998658E-2</v>
      </c>
      <c r="J19" s="29">
        <f>IFERROR('Historical Data'!J23,0)</f>
        <v>8.206839774331566E-2</v>
      </c>
      <c r="K19" s="29">
        <f>IFERROR('Historical Data'!K23,0)</f>
        <v>9.4264230933596482E-2</v>
      </c>
      <c r="L19" s="29">
        <f>IFERROR('Historical Data'!L23,0)</f>
        <v>8.9191478279219347E-2</v>
      </c>
    </row>
    <row r="20" spans="2:12" x14ac:dyDescent="0.2">
      <c r="B20" t="s">
        <v>136</v>
      </c>
      <c r="C20" s="29">
        <f>C14</f>
        <v>9.0017786175937281E-2</v>
      </c>
      <c r="D20" s="29">
        <f t="shared" ref="D20:L20" si="0">D14</f>
        <v>0.10211238357890337</v>
      </c>
      <c r="E20" s="29">
        <f t="shared" si="0"/>
        <v>9.8229670900837146E-2</v>
      </c>
      <c r="F20" s="29">
        <f t="shared" si="0"/>
        <v>7.941702777851016E-2</v>
      </c>
      <c r="G20" s="29">
        <f t="shared" si="0"/>
        <v>4.3322300645279484E-2</v>
      </c>
      <c r="H20" s="29">
        <f t="shared" si="0"/>
        <v>3.3970412259310953E-2</v>
      </c>
      <c r="I20" s="29">
        <f t="shared" si="0"/>
        <v>3.5560233478087663E-3</v>
      </c>
      <c r="J20" s="29">
        <f t="shared" si="0"/>
        <v>-1.3170363258273456E-2</v>
      </c>
      <c r="K20" s="29">
        <f t="shared" si="0"/>
        <v>3.4991608110258483E-2</v>
      </c>
      <c r="L20" s="29">
        <f t="shared" si="0"/>
        <v>-4.1514992694289269E-4</v>
      </c>
    </row>
    <row r="22" spans="2:12" x14ac:dyDescent="0.2">
      <c r="B22" t="s">
        <v>137</v>
      </c>
      <c r="C22" s="29">
        <f>IFERROR(('Historical Data'!C16-'Historical Data'!C22)/SUM('Historical Data'!C46:C48),0)</f>
        <v>0.18603327903481243</v>
      </c>
      <c r="D22" s="29">
        <f>IFERROR(('Historical Data'!D16-'Historical Data'!D22)/SUM('Historical Data'!D46:D48),0)</f>
        <v>0.18832478532145183</v>
      </c>
      <c r="E22" s="29">
        <f>IFERROR(('Historical Data'!E16-'Historical Data'!E22)/SUM('Historical Data'!E46:E48),0)</f>
        <v>0.19904181268509033</v>
      </c>
      <c r="F22" s="29">
        <f>IFERROR(('Historical Data'!F16-'Historical Data'!F22)/SUM('Historical Data'!F46:F48),0)</f>
        <v>0.1462081011853561</v>
      </c>
      <c r="G22" s="29">
        <f>IFERROR(('Historical Data'!G16-'Historical Data'!G22)/SUM('Historical Data'!G46:G48),0)</f>
        <v>8.5490986154773282E-2</v>
      </c>
      <c r="H22" s="29">
        <f>IFERROR(('Historical Data'!H16-'Historical Data'!H22)/SUM('Historical Data'!H46:H48),0)</f>
        <v>5.3716113570365424E-2</v>
      </c>
      <c r="I22" s="29">
        <f>IFERROR(('Historical Data'!I16-'Historical Data'!I22)/SUM('Historical Data'!I46:I48),0)</f>
        <v>6.4542733637543747E-3</v>
      </c>
      <c r="J22" s="29">
        <f>IFERROR(('Historical Data'!J16-'Historical Data'!J22)/SUM('Historical Data'!J46:J48),0)</f>
        <v>-1.8387082646096023E-2</v>
      </c>
      <c r="K22" s="29">
        <f>IFERROR(('Historical Data'!K16-'Historical Data'!K22)/SUM('Historical Data'!K46:K48),0)</f>
        <v>4.4284324706251613E-2</v>
      </c>
      <c r="L22" s="29">
        <f>IFERROR(('Historical Data'!L16-'Historical Data'!L22)/SUM('Historical Data'!L46:L48),0)</f>
        <v>-6.0520306054739361E-4</v>
      </c>
    </row>
    <row r="23" spans="2:12" x14ac:dyDescent="0.2">
      <c r="B23" t="s">
        <v>138</v>
      </c>
      <c r="C23" s="29">
        <f>IFERROR('Historical Data'!C42,0)</f>
        <v>0.93393209005372868</v>
      </c>
      <c r="D23" s="29">
        <f>IFERROR('Historical Data'!D42,0)</f>
        <v>0.95485720817027164</v>
      </c>
      <c r="E23" s="29">
        <f>IFERROR('Historical Data'!E42,0)</f>
        <v>1</v>
      </c>
      <c r="F23" s="29">
        <f>IFERROR('Historical Data'!F42,0)</f>
        <v>0.99506765991253665</v>
      </c>
      <c r="G23" s="29">
        <f>IFERROR('Historical Data'!G42,0)</f>
        <v>1</v>
      </c>
      <c r="H23" s="29">
        <f>IFERROR('Historical Data'!H42,0)</f>
        <v>1</v>
      </c>
      <c r="I23" s="29">
        <f>IFERROR('Historical Data'!I42,0)</f>
        <v>0</v>
      </c>
      <c r="J23" s="29">
        <f>IFERROR('Historical Data'!J42,0)</f>
        <v>0</v>
      </c>
      <c r="K23" s="29">
        <f>IFERROR('Historical Data'!K42,0)</f>
        <v>0</v>
      </c>
      <c r="L23" s="29">
        <f>IFERROR('Historical Data'!L42,0)</f>
        <v>0</v>
      </c>
    </row>
    <row r="24" spans="2:12" x14ac:dyDescent="0.2">
      <c r="B24" t="s">
        <v>139</v>
      </c>
      <c r="C24" s="29">
        <f>IFERROR('Historical Data'!C31/SUM('Historical Data'!C46:C47),0)</f>
        <v>0.25660156281136032</v>
      </c>
      <c r="D24" s="29">
        <f>IFERROR('Historical Data'!D31/SUM('Historical Data'!D46:D47),0)</f>
        <v>0.21738140295975247</v>
      </c>
      <c r="E24" s="29">
        <f>IFERROR('Historical Data'!E31/SUM('Historical Data'!E46:E47),0)</f>
        <v>0.2372052002491202</v>
      </c>
      <c r="F24" s="29">
        <f>IFERROR('Historical Data'!F31/SUM('Historical Data'!F46:F47),0)</f>
        <v>0.17441316864171685</v>
      </c>
      <c r="G24" s="29">
        <f>IFERROR('Historical Data'!G31/SUM('Historical Data'!G46:G47),0)</f>
        <v>7.2241189530689517E-2</v>
      </c>
      <c r="H24" s="29">
        <f>IFERROR('Historical Data'!H31/SUM('Historical Data'!H46:H47),0)</f>
        <v>9.2254980749341738E-3</v>
      </c>
      <c r="I24" s="29">
        <f>IFERROR('Historical Data'!I31/SUM('Historical Data'!I46:I47),0)</f>
        <v>-3.7345736658758885E-2</v>
      </c>
      <c r="J24" s="29">
        <f>IFERROR('Historical Data'!J31/SUM('Historical Data'!J46:J47),0)</f>
        <v>-0.1780542775131683</v>
      </c>
      <c r="K24" s="29">
        <f>IFERROR('Historical Data'!K31/SUM('Historical Data'!K46:K47),0)</f>
        <v>-3.4360591904822733E-2</v>
      </c>
      <c r="L24" s="29">
        <f>IFERROR('Historical Data'!L31/SUM('Historical Data'!L46:L47),0)</f>
        <v>-0.30651638060341208</v>
      </c>
    </row>
    <row r="25" spans="2:12" x14ac:dyDescent="0.2">
      <c r="B25" t="s">
        <v>140</v>
      </c>
      <c r="C25" s="29">
        <f>IFERROR(C23*C24,0)</f>
        <v>0.23964843386746687</v>
      </c>
      <c r="D25" s="29">
        <f t="shared" ref="D25:L25" si="1">IFERROR(D23*D24,0)</f>
        <v>0.20756819953828606</v>
      </c>
      <c r="E25" s="29">
        <f t="shared" si="1"/>
        <v>0.2372052002491202</v>
      </c>
      <c r="F25" s="29">
        <f t="shared" si="1"/>
        <v>0.17355290357824379</v>
      </c>
      <c r="G25" s="29">
        <f t="shared" si="1"/>
        <v>7.2241189530689517E-2</v>
      </c>
      <c r="H25" s="29">
        <f t="shared" si="1"/>
        <v>9.2254980749341738E-3</v>
      </c>
      <c r="I25" s="29">
        <f t="shared" si="1"/>
        <v>0</v>
      </c>
      <c r="J25" s="29">
        <f t="shared" si="1"/>
        <v>0</v>
      </c>
      <c r="K25" s="29">
        <f t="shared" si="1"/>
        <v>0</v>
      </c>
      <c r="L25" s="29">
        <f t="shared" si="1"/>
        <v>0</v>
      </c>
    </row>
    <row r="26" spans="2:12" x14ac:dyDescent="0.2">
      <c r="B26" t="s">
        <v>141</v>
      </c>
      <c r="C26" s="30">
        <f>IFERROR(('Historical Data'!C16-'Historical Data'!C22)/'Historical Data'!C19,0)</f>
        <v>4.773456920160104</v>
      </c>
      <c r="D26" s="30">
        <f>IFERROR(('Historical Data'!D16-'Historical Data'!D22)/'Historical Data'!D19,0)</f>
        <v>5.0058954318824904</v>
      </c>
      <c r="E26" s="30">
        <f>IFERROR(('Historical Data'!E16-'Historical Data'!E22)/'Historical Data'!E19,0)</f>
        <v>5.3173039541375138</v>
      </c>
      <c r="F26" s="30">
        <f>IFERROR(('Historical Data'!F16-'Historical Data'!F22)/'Historical Data'!F19,0)</f>
        <v>4.4352863933500721</v>
      </c>
      <c r="G26" s="30">
        <f>IFERROR(('Historical Data'!G16-'Historical Data'!G22)/'Historical Data'!G19,0)</f>
        <v>2.7568835373205922</v>
      </c>
      <c r="H26" s="30">
        <f>IFERROR(('Historical Data'!H16-'Historical Data'!H22)/'Historical Data'!H19,0)</f>
        <v>2.1154494328024094</v>
      </c>
      <c r="I26" s="30">
        <f>IFERROR(('Historical Data'!I16-'Historical Data'!I22)/'Historical Data'!I19,0)</f>
        <v>0.18645156808947008</v>
      </c>
      <c r="J26" s="30">
        <f>IFERROR(('Historical Data'!J16-'Historical Data'!J22)/'Historical Data'!J19,0)</f>
        <v>-0.47469326953211261</v>
      </c>
      <c r="K26" s="30">
        <f>IFERROR(('Historical Data'!K16-'Historical Data'!K22)/'Historical Data'!K19,0)</f>
        <v>1.079478385658198</v>
      </c>
      <c r="L26" s="30">
        <f>IFERROR(('Historical Data'!L16-'Historical Data'!L22)/'Historical Data'!L19,0)</f>
        <v>-1.2414275987824557E-2</v>
      </c>
    </row>
    <row r="28" spans="2:12" x14ac:dyDescent="0.2">
      <c r="B28" t="s">
        <v>142</v>
      </c>
      <c r="C28" s="30">
        <f>IFERROR('Historical Data'!C5/'Historical Data'!C58,0)</f>
        <v>17.226239096317382</v>
      </c>
      <c r="D28" s="30">
        <f>IFERROR('Historical Data'!D5/'Historical Data'!D58,0)</f>
        <v>22.018970648453838</v>
      </c>
      <c r="E28" s="30">
        <f>IFERROR('Historical Data'!E5/'Historical Data'!E58,0)</f>
        <v>20.92016821419486</v>
      </c>
      <c r="F28" s="30">
        <f>IFERROR('Historical Data'!F5/'Historical Data'!F58,0)</f>
        <v>20.119918266350599</v>
      </c>
      <c r="G28" s="30">
        <f>IFERROR('Historical Data'!G5/'Historical Data'!G58,0)</f>
        <v>19.160353236640844</v>
      </c>
      <c r="H28" s="30">
        <f>IFERROR('Historical Data'!H5/'Historical Data'!H58,0)</f>
        <v>14.655712224718874</v>
      </c>
      <c r="I28" s="30">
        <f>IFERROR('Historical Data'!I5/'Historical Data'!I58,0)</f>
        <v>15.894698773489607</v>
      </c>
      <c r="J28" s="30">
        <f>IFERROR('Historical Data'!J5/'Historical Data'!J58,0)</f>
        <v>23.366617170976728</v>
      </c>
      <c r="K28" s="30">
        <f>IFERROR('Historical Data'!K5/'Historical Data'!K58,0)</f>
        <v>19.701330853658153</v>
      </c>
      <c r="L28" s="30">
        <f>IFERROR('Historical Data'!L5/'Historical Data'!L58,0)</f>
        <v>22.379917570317598</v>
      </c>
    </row>
    <row r="29" spans="2:12" x14ac:dyDescent="0.2">
      <c r="B29" t="s">
        <v>143</v>
      </c>
      <c r="C29" s="30">
        <f>IFERROR('Historical Data'!C5/'Historical Data'!C49,0)</f>
        <v>2.4525850701936758</v>
      </c>
      <c r="D29" s="30">
        <f>IFERROR('Historical Data'!D5/'Historical Data'!D49,0)</f>
        <v>2.5258516302731193</v>
      </c>
      <c r="E29" s="30">
        <f>IFERROR('Historical Data'!E5/'Historical Data'!E49,0)</f>
        <v>2.4493010585757142</v>
      </c>
      <c r="F29" s="30">
        <f>IFERROR('Historical Data'!F5/'Historical Data'!F49,0)</f>
        <v>2.3769603927858673</v>
      </c>
      <c r="G29" s="30">
        <f>IFERROR('Historical Data'!G5/'Historical Data'!G49,0)</f>
        <v>1.9842807783040648</v>
      </c>
      <c r="H29" s="30">
        <f>IFERROR('Historical Data'!H5/'Historical Data'!H49,0)</f>
        <v>2.0414780318629697</v>
      </c>
      <c r="I29" s="30">
        <f>IFERROR('Historical Data'!I5/'Historical Data'!I49,0)</f>
        <v>2.1667847518227492</v>
      </c>
      <c r="J29" s="30">
        <f>IFERROR('Historical Data'!J5/'Historical Data'!J49,0)</f>
        <v>1.9602534811345065</v>
      </c>
      <c r="K29" s="30">
        <f>IFERROR('Historical Data'!K5/'Historical Data'!K49,0)</f>
        <v>1.7323684804395676</v>
      </c>
      <c r="L29" s="30">
        <f>IFERROR('Historical Data'!L5/'Historical Data'!L49,0)</f>
        <v>2.0170312149360217</v>
      </c>
    </row>
    <row r="30" spans="2:12" x14ac:dyDescent="0.2">
      <c r="B30" t="s">
        <v>144</v>
      </c>
      <c r="C30" s="30">
        <f>IFERROR('Historical Data'!C5/'Historical Data'!C59,0)</f>
        <v>8.9743929928572861</v>
      </c>
      <c r="D30" s="30">
        <f>IFERROR('Historical Data'!D5/'Historical Data'!D59,0)</f>
        <v>8.5378093637574715</v>
      </c>
      <c r="E30" s="30">
        <f>IFERROR('Historical Data'!E5/'Historical Data'!E59,0)</f>
        <v>8.9900219797938927</v>
      </c>
      <c r="F30" s="30">
        <f>IFERROR('Historical Data'!F5/'Historical Data'!F59,0)</f>
        <v>8.3613381173839922</v>
      </c>
      <c r="G30" s="30">
        <f>IFERROR('Historical Data'!G5/'Historical Data'!G59,0)</f>
        <v>7.6867643466738649</v>
      </c>
      <c r="H30" s="30">
        <f>IFERROR('Historical Data'!H5/'Historical Data'!H59,0)</f>
        <v>6.9190051742350009</v>
      </c>
      <c r="I30" s="30">
        <f>IFERROR('Historical Data'!I5/'Historical Data'!I59,0)</f>
        <v>7.7392856309817084</v>
      </c>
      <c r="J30" s="30">
        <f>IFERROR('Historical Data'!J5/'Historical Data'!J59,0)</f>
        <v>6.9698269049637886</v>
      </c>
      <c r="K30" s="30">
        <f>IFERROR('Historical Data'!K5/'Historical Data'!K59,0)</f>
        <v>6.9217098811563442</v>
      </c>
      <c r="L30" s="30">
        <f>IFERROR('Historical Data'!L5/'Historical Data'!L59,0)</f>
        <v>7.9015588385356104</v>
      </c>
    </row>
    <row r="31" spans="2:12" x14ac:dyDescent="0.2">
      <c r="B31" t="s">
        <v>145</v>
      </c>
      <c r="C31" s="30">
        <f>IFERROR('Historical Data'!C5/'Historical Data'!C52,0)</f>
        <v>3.4009512944381304</v>
      </c>
      <c r="D31" s="30">
        <f>IFERROR('Historical Data'!D5/'Historical Data'!D52,0)</f>
        <v>3.3699237549186467</v>
      </c>
      <c r="E31" s="30">
        <f>IFERROR('Historical Data'!E5/'Historical Data'!E52,0)</f>
        <v>2.9742370802544178</v>
      </c>
      <c r="F31" s="30">
        <f>IFERROR('Historical Data'!F5/'Historical Data'!F52,0)</f>
        <v>2.546312771514708</v>
      </c>
      <c r="G31" s="30">
        <f>IFERROR('Historical Data'!G5/'Historical Data'!G52,0)</f>
        <v>2.8109343484246239</v>
      </c>
      <c r="H31" s="30">
        <f>IFERROR('Historical Data'!H5/'Historical Data'!H52,0)</f>
        <v>2.4012948768781421</v>
      </c>
      <c r="I31" s="30">
        <f>IFERROR('Historical Data'!I5/'Historical Data'!I52,0)</f>
        <v>2.7144319562092578</v>
      </c>
      <c r="J31" s="30">
        <f>IFERROR('Historical Data'!J5/'Historical Data'!J52,0)</f>
        <v>2.0539205744067566</v>
      </c>
      <c r="K31" s="30">
        <f>IFERROR('Historical Data'!K5/'Historical Data'!K52,0)</f>
        <v>1.8008727134726064</v>
      </c>
      <c r="L31" s="30">
        <f>IFERROR('Historical Data'!L5/'Historical Data'!L52,0)</f>
        <v>2.0053488717943728</v>
      </c>
    </row>
    <row r="32" spans="2:12" x14ac:dyDescent="0.2">
      <c r="B32" t="s">
        <v>146</v>
      </c>
      <c r="C32" s="30">
        <f>IFERROR('Historical Data'!C5/SUM('Historical Data'!C46:C47),0)</f>
        <v>5.0161060968772997</v>
      </c>
      <c r="D32" s="30">
        <f>IFERROR('Historical Data'!D5/SUM('Historical Data'!D46:D47),0)</f>
        <v>3.549106944832932</v>
      </c>
      <c r="E32" s="30">
        <f>IFERROR('Historical Data'!E5/SUM('Historical Data'!E46:E47),0)</f>
        <v>4.6773906756114965</v>
      </c>
      <c r="F32" s="30">
        <f>IFERROR('Historical Data'!F5/SUM('Historical Data'!F46:F47),0)</f>
        <v>3.4583567493379874</v>
      </c>
      <c r="G32" s="30">
        <f>IFERROR('Historical Data'!G5/SUM('Historical Data'!G46:G47),0)</f>
        <v>4.6449144180459854</v>
      </c>
      <c r="H32" s="30">
        <f>IFERROR('Historical Data'!H5/SUM('Historical Data'!H46:H47),0)</f>
        <v>3.0551908765475422</v>
      </c>
      <c r="I32" s="30">
        <f>IFERROR('Historical Data'!I5/SUM('Historical Data'!I46:I47),0)</f>
        <v>5.0172915853821474</v>
      </c>
      <c r="J32" s="30">
        <f>IFERROR('Historical Data'!J5/SUM('Historical Data'!J46:J47),0)</f>
        <v>4.196490075795241</v>
      </c>
      <c r="K32" s="30">
        <f>IFERROR('Historical Data'!K5/SUM('Historical Data'!K46:K47),0)</f>
        <v>4.5214403678625628</v>
      </c>
      <c r="L32" s="30">
        <f>IFERROR('Historical Data'!L5/SUM('Historical Data'!L46:L47),0)</f>
        <v>6.2487852671963351</v>
      </c>
    </row>
    <row r="33" spans="2:12" x14ac:dyDescent="0.2"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2:12" x14ac:dyDescent="0.2">
      <c r="B35" t="s">
        <v>147</v>
      </c>
      <c r="C35" s="31">
        <f>IFERROR(365/C28,0)</f>
        <v>21.188606402080506</v>
      </c>
      <c r="D35" s="31">
        <f t="shared" ref="D35:L35" si="2">IFERROR(365/D28,0)</f>
        <v>16.576615039251624</v>
      </c>
      <c r="E35" s="31">
        <f t="shared" si="2"/>
        <v>17.447278447423685</v>
      </c>
      <c r="F35" s="31">
        <f t="shared" si="2"/>
        <v>18.141226776772818</v>
      </c>
      <c r="G35" s="31">
        <f t="shared" si="2"/>
        <v>19.049753180019717</v>
      </c>
      <c r="H35" s="31">
        <f t="shared" si="2"/>
        <v>24.904964999543136</v>
      </c>
      <c r="I35" s="31">
        <f t="shared" si="2"/>
        <v>22.963631157878556</v>
      </c>
      <c r="J35" s="31">
        <f t="shared" si="2"/>
        <v>15.620575170519771</v>
      </c>
      <c r="K35" s="31">
        <f t="shared" si="2"/>
        <v>18.52666719376608</v>
      </c>
      <c r="L35" s="31">
        <f t="shared" si="2"/>
        <v>16.309264717046954</v>
      </c>
    </row>
    <row r="36" spans="2:12" x14ac:dyDescent="0.2">
      <c r="B36" t="s">
        <v>148</v>
      </c>
      <c r="C36" s="31">
        <f>IFERROR(365/C29,0)</f>
        <v>148.82256458128757</v>
      </c>
      <c r="D36" s="31">
        <f t="shared" ref="D36:L36" si="3">IFERROR(365/D29,0)</f>
        <v>144.50571665626009</v>
      </c>
      <c r="E36" s="31">
        <f t="shared" si="3"/>
        <v>149.02210519283818</v>
      </c>
      <c r="F36" s="31">
        <f t="shared" si="3"/>
        <v>153.55745981623585</v>
      </c>
      <c r="G36" s="31">
        <f t="shared" si="3"/>
        <v>183.94574194885871</v>
      </c>
      <c r="H36" s="31">
        <f t="shared" si="3"/>
        <v>178.79202925682029</v>
      </c>
      <c r="I36" s="31">
        <f t="shared" si="3"/>
        <v>168.45235766633192</v>
      </c>
      <c r="J36" s="31">
        <f t="shared" si="3"/>
        <v>186.20040903524091</v>
      </c>
      <c r="K36" s="31">
        <f t="shared" si="3"/>
        <v>210.69420514242194</v>
      </c>
      <c r="L36" s="31">
        <f t="shared" si="3"/>
        <v>180.95902398395825</v>
      </c>
    </row>
    <row r="37" spans="2:12" x14ac:dyDescent="0.2">
      <c r="B37" t="s">
        <v>149</v>
      </c>
      <c r="C37" s="31">
        <f>IFERROR(365/C30,0)</f>
        <v>40.671274401567132</v>
      </c>
      <c r="D37" s="31">
        <f t="shared" ref="D37:L37" si="4">IFERROR(365/D30,0)</f>
        <v>42.751013105235728</v>
      </c>
      <c r="E37" s="31">
        <f t="shared" si="4"/>
        <v>40.600568143256986</v>
      </c>
      <c r="F37" s="31">
        <f t="shared" si="4"/>
        <v>43.653299851746382</v>
      </c>
      <c r="G37" s="31">
        <f t="shared" si="4"/>
        <v>47.484218786795374</v>
      </c>
      <c r="H37" s="31">
        <f t="shared" si="4"/>
        <v>52.753248596949661</v>
      </c>
      <c r="I37" s="31">
        <f t="shared" si="4"/>
        <v>47.161975588398164</v>
      </c>
      <c r="J37" s="31">
        <f t="shared" si="4"/>
        <v>52.368588915752468</v>
      </c>
      <c r="K37" s="31">
        <f t="shared" si="4"/>
        <v>52.732634893247351</v>
      </c>
      <c r="L37" s="31">
        <f t="shared" si="4"/>
        <v>46.193416698982041</v>
      </c>
    </row>
    <row r="38" spans="2:12" x14ac:dyDescent="0.2">
      <c r="B38" t="s">
        <v>150</v>
      </c>
      <c r="C38" s="31">
        <f>IFERROR(SUM(C35,C37)-C36,0)</f>
        <v>-86.962683777639924</v>
      </c>
      <c r="D38" s="31">
        <f t="shared" ref="D38:L38" si="5">IFERROR(SUM(D35,D37)-D36,0)</f>
        <v>-85.178088511772742</v>
      </c>
      <c r="E38" s="31">
        <f t="shared" si="5"/>
        <v>-90.974258602157505</v>
      </c>
      <c r="F38" s="31">
        <f t="shared" si="5"/>
        <v>-91.762933187716641</v>
      </c>
      <c r="G38" s="31">
        <f t="shared" si="5"/>
        <v>-117.41176998204362</v>
      </c>
      <c r="H38" s="31">
        <f t="shared" si="5"/>
        <v>-101.13381566032749</v>
      </c>
      <c r="I38" s="31">
        <f t="shared" si="5"/>
        <v>-98.326750920055204</v>
      </c>
      <c r="J38" s="31">
        <f t="shared" si="5"/>
        <v>-118.21124494896867</v>
      </c>
      <c r="K38" s="31">
        <f t="shared" si="5"/>
        <v>-139.43490305540851</v>
      </c>
      <c r="L38" s="31">
        <f t="shared" si="5"/>
        <v>-118.45634256792925</v>
      </c>
    </row>
    <row r="40" spans="2:12" x14ac:dyDescent="0.2">
      <c r="B40" t="s">
        <v>151</v>
      </c>
      <c r="C40" s="29">
        <f>IFERROR('Historical Data'!C77/'Historical Data'!C5,0)</f>
        <v>0.11737212918572218</v>
      </c>
      <c r="D40" s="29">
        <f>IFERROR('Historical Data'!D77/'Historical Data'!D5,0)</f>
        <v>0.17311929898795561</v>
      </c>
      <c r="E40" s="29">
        <f>IFERROR('Historical Data'!E77/'Historical Data'!E5,0)</f>
        <v>0.12106750071762705</v>
      </c>
      <c r="F40" s="29">
        <f>IFERROR('Historical Data'!F77/'Historical Data'!F5,0)</f>
        <v>0.14360971207739662</v>
      </c>
      <c r="G40" s="29">
        <f>IFERROR('Historical Data'!G77/'Historical Data'!G5,0)</f>
        <v>0.12404497255040564</v>
      </c>
      <c r="H40" s="29">
        <f>IFERROR('Historical Data'!H77/'Historical Data'!H5,0)</f>
        <v>5.9759805574664121E-2</v>
      </c>
      <c r="I40" s="29">
        <f>IFERROR('Historical Data'!I77/'Historical Data'!I5,0)</f>
        <v>3.8653579670555313E-2</v>
      </c>
      <c r="J40" s="29">
        <f>IFERROR('Historical Data'!J77/'Historical Data'!J5,0)</f>
        <v>0.12141665635964458</v>
      </c>
      <c r="K40" s="29">
        <f>IFERROR('Historical Data'!K77/'Historical Data'!K5,0)</f>
        <v>0.11572300859005244</v>
      </c>
      <c r="L40" s="29">
        <f>IFERROR('Historical Data'!L77/'Historical Data'!L5,0)</f>
        <v>1.3675527005179534E-2</v>
      </c>
    </row>
    <row r="41" spans="2:12" x14ac:dyDescent="0.2">
      <c r="B41" t="s">
        <v>153</v>
      </c>
      <c r="C41" s="29">
        <f>IFERROR('Historical Data'!C77/'Historical Data'!C63,0)</f>
        <v>0.13164020703851831</v>
      </c>
      <c r="D41" s="29">
        <f>IFERROR('Historical Data'!D77/'Historical Data'!D63,0)</f>
        <v>0.18453847914343893</v>
      </c>
      <c r="E41" s="29">
        <f>IFERROR('Historical Data'!E77/'Historical Data'!E63,0)</f>
        <v>0.1342520624188657</v>
      </c>
      <c r="F41" s="29">
        <f>IFERROR('Historical Data'!F77/'Historical Data'!F63,0)</f>
        <v>0.14899075217760099</v>
      </c>
      <c r="G41" s="29">
        <f>IFERROR('Historical Data'!G77/'Historical Data'!G63,0)</f>
        <v>0.12273077928285075</v>
      </c>
      <c r="H41" s="29">
        <f>IFERROR('Historical Data'!H77/'Historical Data'!H63,0)</f>
        <v>5.3250110386320486E-2</v>
      </c>
      <c r="I41" s="29">
        <f>IFERROR('Historical Data'!I77/'Historical Data'!I63,0)</f>
        <v>3.8177516390146542E-2</v>
      </c>
      <c r="J41" s="29">
        <f>IFERROR('Historical Data'!J77/'Historical Data'!J63,0)</f>
        <v>9.9000750797857404E-2</v>
      </c>
      <c r="K41" s="29">
        <f>IFERROR('Historical Data'!K77/'Historical Data'!K63,0)</f>
        <v>8.4629819997903213E-2</v>
      </c>
      <c r="L41" s="29">
        <f>IFERROR('Historical Data'!L77/'Historical Data'!L63,0)</f>
        <v>1.157230522477729E-2</v>
      </c>
    </row>
    <row r="42" spans="2:12" x14ac:dyDescent="0.2">
      <c r="B42" t="s">
        <v>152</v>
      </c>
      <c r="C42" s="29">
        <f>IFERROR('Historical Data'!C77/'Historical Data'!C48,0)</f>
        <v>0.4125236360089069</v>
      </c>
      <c r="D42" s="29">
        <f>IFERROR('Historical Data'!D77/'Historical Data'!D48,0)</f>
        <v>0.66468477108710289</v>
      </c>
      <c r="E42" s="29">
        <f>IFERROR('Historical Data'!E77/'Historical Data'!E48,0)</f>
        <v>0.43281933433581865</v>
      </c>
      <c r="F42" s="29">
        <f>IFERROR('Historical Data'!F77/'Historical Data'!F48,0)</f>
        <v>0.56534057978118779</v>
      </c>
      <c r="G42" s="29">
        <f>IFERROR('Historical Data'!G77/'Historical Data'!G48,0)</f>
        <v>0.42560185883717339</v>
      </c>
      <c r="H42" s="29">
        <f>IFERROR('Historical Data'!H77/'Historical Data'!H48,0)</f>
        <v>0.19587305159826587</v>
      </c>
      <c r="I42" s="29">
        <f>IFERROR('Historical Data'!I77/'Historical Data'!I48,0)</f>
        <v>0.1099219460940742</v>
      </c>
      <c r="J42" s="29">
        <f>IFERROR('Historical Data'!J77/'Historical Data'!J48,0)</f>
        <v>0.25401554192386361</v>
      </c>
      <c r="K42" s="29">
        <f>IFERROR('Historical Data'!K77/'Historical Data'!K48,0)</f>
        <v>0.20338341005738594</v>
      </c>
      <c r="L42" s="29">
        <f>IFERROR('Historical Data'!L77/'Historical Data'!L48,0)</f>
        <v>2.6002220704363834E-2</v>
      </c>
    </row>
  </sheetData>
  <mergeCells count="1">
    <mergeCell ref="B3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A1"/>
  <sheetViews>
    <sheetView workbookViewId="0">
      <selection activeCell="F26" sqref="F2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L93"/>
  <sheetViews>
    <sheetView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1" sqref="B1"/>
    </sheetView>
  </sheetViews>
  <sheetFormatPr baseColWidth="10" defaultColWidth="10.5" defaultRowHeight="13" x14ac:dyDescent="0.15"/>
  <cols>
    <col min="1" max="1" width="26.6640625" style="2" bestFit="1" customWidth="1"/>
    <col min="2" max="11" width="11.5" style="2" bestFit="1" customWidth="1"/>
    <col min="12" max="16384" width="10.5" style="2"/>
  </cols>
  <sheetData>
    <row r="1" spans="1:11" s="1" customFormat="1" x14ac:dyDescent="0.15">
      <c r="A1" s="1" t="s">
        <v>0</v>
      </c>
      <c r="B1" s="1" t="s">
        <v>1</v>
      </c>
      <c r="E1" s="92" t="str">
        <f>IF(B2&lt;&gt;B3, "A NEW VERSION OF THE WORKSHEET IS AVAILABLE", "")</f>
        <v/>
      </c>
      <c r="F1" s="92"/>
      <c r="G1" s="92"/>
      <c r="H1" s="92"/>
      <c r="I1" s="92"/>
      <c r="J1" s="92"/>
      <c r="K1" s="92"/>
    </row>
    <row r="2" spans="1:11" x14ac:dyDescent="0.15">
      <c r="A2" s="1" t="s">
        <v>2</v>
      </c>
      <c r="B2" s="2">
        <v>2.1</v>
      </c>
      <c r="E2" s="93" t="s">
        <v>3</v>
      </c>
      <c r="F2" s="93"/>
      <c r="G2" s="93"/>
      <c r="H2" s="93"/>
      <c r="I2" s="93"/>
      <c r="J2" s="93"/>
      <c r="K2" s="93"/>
    </row>
    <row r="3" spans="1:11" x14ac:dyDescent="0.15">
      <c r="A3" s="1" t="s">
        <v>4</v>
      </c>
      <c r="B3" s="2">
        <v>2.1</v>
      </c>
    </row>
    <row r="4" spans="1:11" x14ac:dyDescent="0.15">
      <c r="A4" s="1"/>
    </row>
    <row r="5" spans="1:11" x14ac:dyDescent="0.15">
      <c r="A5" s="1" t="s">
        <v>5</v>
      </c>
    </row>
    <row r="6" spans="1:11" x14ac:dyDescent="0.15">
      <c r="A6" s="2" t="s">
        <v>6</v>
      </c>
      <c r="B6" s="2">
        <f>IF(B9&gt;0, B9/B8, 0)</f>
        <v>358.58908869987852</v>
      </c>
    </row>
    <row r="7" spans="1:11" x14ac:dyDescent="0.15">
      <c r="A7" s="2" t="s">
        <v>7</v>
      </c>
      <c r="B7" s="3">
        <v>2</v>
      </c>
    </row>
    <row r="8" spans="1:11" x14ac:dyDescent="0.15">
      <c r="A8" s="2" t="s">
        <v>8</v>
      </c>
      <c r="B8" s="3">
        <v>411.5</v>
      </c>
    </row>
    <row r="9" spans="1:11" x14ac:dyDescent="0.15">
      <c r="A9" s="2" t="s">
        <v>9</v>
      </c>
      <c r="B9" s="3">
        <v>147559.41</v>
      </c>
    </row>
    <row r="15" spans="1:11" x14ac:dyDescent="0.15">
      <c r="A15" s="1" t="s">
        <v>10</v>
      </c>
      <c r="B15" s="2">
        <f>B26+B34</f>
        <v>32432.079999999998</v>
      </c>
      <c r="K15" s="2">
        <f>K17-K18-K20-K21-K22-K23-K19</f>
        <v>29129.190000000006</v>
      </c>
    </row>
    <row r="16" spans="1:11" s="6" customFormat="1" x14ac:dyDescent="0.15">
      <c r="A16" s="4" t="s">
        <v>11</v>
      </c>
      <c r="B16" s="5">
        <v>41364</v>
      </c>
      <c r="C16" s="5">
        <v>41729</v>
      </c>
      <c r="D16" s="5">
        <v>42094</v>
      </c>
      <c r="E16" s="5">
        <v>42460</v>
      </c>
      <c r="F16" s="5">
        <v>42825</v>
      </c>
      <c r="G16" s="5">
        <v>43190</v>
      </c>
      <c r="H16" s="5">
        <v>43555</v>
      </c>
      <c r="I16" s="5">
        <v>43921</v>
      </c>
      <c r="J16" s="5">
        <v>44286</v>
      </c>
      <c r="K16" s="5">
        <v>44651</v>
      </c>
    </row>
    <row r="17" spans="1:11" x14ac:dyDescent="0.15">
      <c r="A17" s="2" t="s">
        <v>12</v>
      </c>
      <c r="B17" s="3">
        <v>188792.69</v>
      </c>
      <c r="C17" s="3">
        <v>232833.66</v>
      </c>
      <c r="D17" s="3">
        <v>263158.98</v>
      </c>
      <c r="E17" s="3">
        <v>273045.59999999998</v>
      </c>
      <c r="F17" s="3">
        <v>269692.51</v>
      </c>
      <c r="G17" s="3">
        <v>291550.48</v>
      </c>
      <c r="H17" s="3">
        <v>301938.40000000002</v>
      </c>
      <c r="I17" s="3">
        <v>261067.97</v>
      </c>
      <c r="J17" s="3">
        <v>249794.75</v>
      </c>
      <c r="K17" s="3">
        <v>278453.62</v>
      </c>
    </row>
    <row r="18" spans="1:11" ht="15" x14ac:dyDescent="0.2">
      <c r="A18" s="2" t="s">
        <v>13</v>
      </c>
      <c r="B18" s="7">
        <v>123117.34</v>
      </c>
      <c r="C18" s="7">
        <v>146426.99</v>
      </c>
      <c r="D18" s="7">
        <v>163250.35999999999</v>
      </c>
      <c r="E18" s="7">
        <v>166134.01</v>
      </c>
      <c r="F18" s="7">
        <v>173294.07999999999</v>
      </c>
      <c r="G18" s="7">
        <v>187896.58</v>
      </c>
      <c r="H18" s="7">
        <v>194267.91</v>
      </c>
      <c r="I18" s="7">
        <v>164899.82</v>
      </c>
      <c r="J18" s="7">
        <v>153607.35999999999</v>
      </c>
      <c r="K18" s="7">
        <v>179295.33</v>
      </c>
    </row>
    <row r="19" spans="1:11" ht="15" x14ac:dyDescent="0.2">
      <c r="A19" s="2" t="s">
        <v>14</v>
      </c>
      <c r="B19" s="7">
        <v>3029.29</v>
      </c>
      <c r="C19" s="7">
        <v>2840.58</v>
      </c>
      <c r="D19" s="7">
        <v>3330.35</v>
      </c>
      <c r="E19" s="7">
        <v>2750.99</v>
      </c>
      <c r="F19" s="7">
        <v>7399.92</v>
      </c>
      <c r="G19" s="7">
        <v>2046.58</v>
      </c>
      <c r="H19" s="7">
        <v>-2053.2800000000002</v>
      </c>
      <c r="I19" s="7">
        <v>-2231.19</v>
      </c>
      <c r="J19" s="7">
        <v>-4684.16</v>
      </c>
      <c r="K19" s="7">
        <v>-1590.49</v>
      </c>
    </row>
    <row r="20" spans="1:11" x14ac:dyDescent="0.15">
      <c r="A20" s="2" t="s">
        <v>15</v>
      </c>
      <c r="B20" s="3">
        <v>1077.77</v>
      </c>
      <c r="C20" s="3">
        <v>1128.69</v>
      </c>
      <c r="D20" s="3">
        <v>1121.75</v>
      </c>
      <c r="E20" s="3">
        <v>1143.6300000000001</v>
      </c>
      <c r="F20" s="3">
        <v>1159.82</v>
      </c>
      <c r="G20" s="3">
        <v>1308.08</v>
      </c>
      <c r="H20" s="3">
        <v>1585.93</v>
      </c>
      <c r="I20" s="3">
        <v>1264.95</v>
      </c>
      <c r="J20" s="3">
        <v>1112.8699999999999</v>
      </c>
      <c r="K20" s="3">
        <v>2178.29</v>
      </c>
    </row>
    <row r="21" spans="1:11" x14ac:dyDescent="0.15">
      <c r="A21" s="2" t="s">
        <v>16</v>
      </c>
      <c r="B21" s="3">
        <v>4440.7299999999996</v>
      </c>
      <c r="C21" s="3">
        <v>13806.04</v>
      </c>
      <c r="D21" s="3">
        <v>16173.17</v>
      </c>
      <c r="E21" s="3">
        <v>12101.53</v>
      </c>
      <c r="F21" s="3">
        <v>10067.370000000001</v>
      </c>
      <c r="G21" s="3">
        <v>10971.66</v>
      </c>
      <c r="H21" s="3">
        <v>11694.54</v>
      </c>
      <c r="I21" s="3">
        <v>11541.51</v>
      </c>
      <c r="J21" s="3">
        <v>8273.17</v>
      </c>
      <c r="K21" s="3">
        <v>9427.3799999999992</v>
      </c>
    </row>
    <row r="22" spans="1:11" x14ac:dyDescent="0.15">
      <c r="A22" s="2" t="s">
        <v>17</v>
      </c>
      <c r="B22" s="3">
        <v>16632.189999999999</v>
      </c>
      <c r="C22" s="3">
        <v>21609.919999999998</v>
      </c>
      <c r="D22" s="3">
        <v>25641.95</v>
      </c>
      <c r="E22" s="3">
        <v>28880.89</v>
      </c>
      <c r="F22" s="3">
        <v>28332.89</v>
      </c>
      <c r="G22" s="3">
        <v>30300.09</v>
      </c>
      <c r="H22" s="3">
        <v>33243.870000000003</v>
      </c>
      <c r="I22" s="3">
        <v>30438.6</v>
      </c>
      <c r="J22" s="3">
        <v>27648.48</v>
      </c>
      <c r="K22" s="3">
        <v>30808.52</v>
      </c>
    </row>
    <row r="23" spans="1:11" x14ac:dyDescent="0.15">
      <c r="A23" s="2" t="s">
        <v>18</v>
      </c>
      <c r="B23" s="3">
        <v>16632.91</v>
      </c>
      <c r="C23" s="3">
        <v>22357.79</v>
      </c>
      <c r="D23" s="3">
        <v>23603.01</v>
      </c>
      <c r="E23" s="3">
        <v>21991.9</v>
      </c>
      <c r="F23" s="3">
        <v>30039.38</v>
      </c>
      <c r="G23" s="3">
        <v>31004.58</v>
      </c>
      <c r="H23" s="3">
        <v>32719.8</v>
      </c>
      <c r="I23" s="3">
        <v>29248.32</v>
      </c>
      <c r="J23" s="3">
        <v>23015.79</v>
      </c>
      <c r="K23" s="3">
        <v>29205.4</v>
      </c>
    </row>
    <row r="24" spans="1:11" x14ac:dyDescent="0.15">
      <c r="A24" s="2" t="s">
        <v>19</v>
      </c>
      <c r="B24" s="3">
        <v>5325.06</v>
      </c>
      <c r="C24" s="3">
        <v>-4508.55</v>
      </c>
      <c r="D24" s="3">
        <v>-2539.56</v>
      </c>
      <c r="E24" s="3">
        <v>7149.38</v>
      </c>
      <c r="F24" s="3">
        <v>4610.2</v>
      </c>
      <c r="G24" s="3">
        <v>658.39</v>
      </c>
      <c r="H24" s="3">
        <v>1708.74</v>
      </c>
      <c r="I24" s="3">
        <v>3456.51</v>
      </c>
      <c r="J24" s="3">
        <v>-834.51</v>
      </c>
      <c r="K24" s="3">
        <v>1228.1199999999999</v>
      </c>
    </row>
    <row r="25" spans="1:11" x14ac:dyDescent="0.15">
      <c r="A25" s="2" t="s">
        <v>20</v>
      </c>
      <c r="B25" s="3">
        <v>212.88</v>
      </c>
      <c r="C25" s="3">
        <v>-156.79</v>
      </c>
      <c r="D25" s="3">
        <v>714.03</v>
      </c>
      <c r="E25" s="3">
        <v>-2669.62</v>
      </c>
      <c r="F25" s="3">
        <v>1869.1</v>
      </c>
      <c r="G25" s="3">
        <v>5932.73</v>
      </c>
      <c r="H25" s="3">
        <v>-26686.25</v>
      </c>
      <c r="I25" s="3">
        <v>101.71</v>
      </c>
      <c r="J25" s="3">
        <v>-11117.83</v>
      </c>
      <c r="K25" s="3">
        <v>2424.0500000000002</v>
      </c>
    </row>
    <row r="26" spans="1:11" x14ac:dyDescent="0.15">
      <c r="A26" s="2" t="s">
        <v>21</v>
      </c>
      <c r="B26" s="3">
        <v>7601.28</v>
      </c>
      <c r="C26" s="3">
        <v>11078.16</v>
      </c>
      <c r="D26" s="3">
        <v>13388.63</v>
      </c>
      <c r="E26" s="3">
        <v>16710.78</v>
      </c>
      <c r="F26" s="3">
        <v>17904.990000000002</v>
      </c>
      <c r="G26" s="3">
        <v>21553.59</v>
      </c>
      <c r="H26" s="3">
        <v>23590.63</v>
      </c>
      <c r="I26" s="3">
        <v>21425.43</v>
      </c>
      <c r="J26" s="3">
        <v>23546.71</v>
      </c>
      <c r="K26" s="3">
        <v>24835.69</v>
      </c>
    </row>
    <row r="27" spans="1:11" ht="15" x14ac:dyDescent="0.2">
      <c r="A27" s="2" t="s">
        <v>22</v>
      </c>
      <c r="B27" s="3">
        <v>3560.25</v>
      </c>
      <c r="C27" s="3">
        <v>4749.4399999999996</v>
      </c>
      <c r="D27" s="3">
        <v>4861.49</v>
      </c>
      <c r="E27" s="3">
        <v>4889.08</v>
      </c>
      <c r="F27" s="3">
        <v>4238.01</v>
      </c>
      <c r="G27" s="3">
        <v>4681.79</v>
      </c>
      <c r="H27" s="3">
        <v>5758.6</v>
      </c>
      <c r="I27" s="3">
        <v>7243.33</v>
      </c>
      <c r="J27" s="7">
        <v>8097.17</v>
      </c>
      <c r="K27" s="7">
        <v>9311.86</v>
      </c>
    </row>
    <row r="28" spans="1:11" x14ac:dyDescent="0.15">
      <c r="A28" s="2" t="s">
        <v>23</v>
      </c>
      <c r="B28" s="3">
        <v>13647.33</v>
      </c>
      <c r="C28" s="3">
        <v>18868.97</v>
      </c>
      <c r="D28" s="3">
        <v>21702.560000000001</v>
      </c>
      <c r="E28" s="3">
        <v>14125.77</v>
      </c>
      <c r="F28" s="3">
        <v>9314.7900000000009</v>
      </c>
      <c r="G28" s="3">
        <v>11155.03</v>
      </c>
      <c r="H28" s="3">
        <v>-31371.15</v>
      </c>
      <c r="I28" s="3">
        <v>-10579.98</v>
      </c>
      <c r="J28" s="3">
        <v>-10474.280000000001</v>
      </c>
      <c r="K28" s="3">
        <v>-7003.41</v>
      </c>
    </row>
    <row r="29" spans="1:11" x14ac:dyDescent="0.15">
      <c r="A29" s="2" t="s">
        <v>24</v>
      </c>
      <c r="B29" s="3">
        <v>3776.66</v>
      </c>
      <c r="C29" s="3">
        <v>4764.79</v>
      </c>
      <c r="D29" s="3">
        <v>7642.91</v>
      </c>
      <c r="E29" s="3">
        <v>3025.05</v>
      </c>
      <c r="F29" s="3">
        <v>3251.23</v>
      </c>
      <c r="G29" s="3">
        <v>4341.93</v>
      </c>
      <c r="H29" s="3">
        <v>-2437.4499999999998</v>
      </c>
      <c r="I29" s="3">
        <v>395.25</v>
      </c>
      <c r="J29" s="3">
        <v>2541.86</v>
      </c>
      <c r="K29" s="3">
        <v>4231.29</v>
      </c>
    </row>
    <row r="30" spans="1:11" x14ac:dyDescent="0.15">
      <c r="A30" s="2" t="s">
        <v>25</v>
      </c>
      <c r="B30" s="3">
        <v>9892.61</v>
      </c>
      <c r="C30" s="3">
        <v>13991.02</v>
      </c>
      <c r="D30" s="3">
        <v>13986.29</v>
      </c>
      <c r="E30" s="3">
        <v>11579.31</v>
      </c>
      <c r="F30" s="3">
        <v>7454.36</v>
      </c>
      <c r="G30" s="3">
        <v>8988.91</v>
      </c>
      <c r="H30" s="3">
        <v>-28826.23</v>
      </c>
      <c r="I30" s="3">
        <v>-12070.85</v>
      </c>
      <c r="J30" s="3">
        <v>-13451.39</v>
      </c>
      <c r="K30" s="3">
        <v>-11441.47</v>
      </c>
    </row>
    <row r="31" spans="1:11" x14ac:dyDescent="0.15">
      <c r="A31" s="2" t="s">
        <v>26</v>
      </c>
      <c r="B31" s="3">
        <v>638.07000000000005</v>
      </c>
      <c r="C31" s="3">
        <v>643.78</v>
      </c>
      <c r="D31" s="3"/>
      <c r="E31" s="3">
        <v>67.92</v>
      </c>
      <c r="F31" s="3"/>
      <c r="G31" s="3"/>
      <c r="H31" s="3"/>
      <c r="I31" s="3"/>
      <c r="J31" s="3"/>
      <c r="K31" s="3"/>
    </row>
    <row r="32" spans="1:11" x14ac:dyDescent="0.15">
      <c r="A32" s="2" t="s">
        <v>27</v>
      </c>
      <c r="B32" s="8">
        <f>B29/B28</f>
        <v>0.27673251837538915</v>
      </c>
      <c r="C32" s="8">
        <f t="shared" ref="C32:K32" si="0">C29/C28</f>
        <v>0.252519877873567</v>
      </c>
      <c r="D32" s="8">
        <f t="shared" si="0"/>
        <v>0.3521662882166896</v>
      </c>
      <c r="E32" s="8">
        <f t="shared" si="0"/>
        <v>0.21415115777759372</v>
      </c>
      <c r="F32" s="8">
        <f t="shared" si="0"/>
        <v>0.34903953819678163</v>
      </c>
      <c r="G32" s="8">
        <f t="shared" si="0"/>
        <v>0.38923517014297587</v>
      </c>
      <c r="H32" s="8">
        <f t="shared" si="0"/>
        <v>7.7697183558779317E-2</v>
      </c>
      <c r="I32" s="8">
        <f t="shared" si="0"/>
        <v>-3.735829368297483E-2</v>
      </c>
      <c r="J32" s="8">
        <f t="shared" si="0"/>
        <v>-0.24267634625005249</v>
      </c>
      <c r="K32" s="8">
        <f t="shared" si="0"/>
        <v>-0.60417568013296385</v>
      </c>
    </row>
    <row r="34" spans="1:11" x14ac:dyDescent="0.15">
      <c r="A34" s="2" t="s">
        <v>28</v>
      </c>
      <c r="B34" s="2">
        <f>+B30+B29+B27+B26</f>
        <v>24830.799999999999</v>
      </c>
      <c r="C34" s="2">
        <f t="shared" ref="C34:K34" si="1">+C30+C29+C27+C26</f>
        <v>34583.410000000003</v>
      </c>
      <c r="D34" s="2">
        <f t="shared" si="1"/>
        <v>39879.32</v>
      </c>
      <c r="E34" s="2">
        <f t="shared" si="1"/>
        <v>36204.22</v>
      </c>
      <c r="F34" s="2">
        <f t="shared" si="1"/>
        <v>32848.590000000004</v>
      </c>
      <c r="G34" s="2">
        <f t="shared" si="1"/>
        <v>39566.22</v>
      </c>
      <c r="H34" s="2">
        <f t="shared" si="1"/>
        <v>-1914.4500000000007</v>
      </c>
      <c r="I34" s="2">
        <f t="shared" si="1"/>
        <v>16993.16</v>
      </c>
      <c r="J34" s="2">
        <f t="shared" si="1"/>
        <v>20734.349999999999</v>
      </c>
      <c r="K34" s="2">
        <f t="shared" si="1"/>
        <v>26937.37</v>
      </c>
    </row>
    <row r="40" spans="1:11" x14ac:dyDescent="0.15">
      <c r="A40" s="1" t="s">
        <v>29</v>
      </c>
    </row>
    <row r="41" spans="1:11" s="6" customFormat="1" x14ac:dyDescent="0.15">
      <c r="A41" s="4" t="s">
        <v>11</v>
      </c>
      <c r="B41" s="5">
        <v>44012</v>
      </c>
      <c r="C41" s="5">
        <v>44104</v>
      </c>
      <c r="D41" s="5">
        <v>44196</v>
      </c>
      <c r="E41" s="5">
        <v>44286</v>
      </c>
      <c r="F41" s="5">
        <v>44377</v>
      </c>
      <c r="G41" s="5">
        <v>44469</v>
      </c>
      <c r="H41" s="5">
        <v>44561</v>
      </c>
      <c r="I41" s="5">
        <v>44651</v>
      </c>
      <c r="J41" s="5">
        <v>44742</v>
      </c>
      <c r="K41" s="5">
        <v>44834</v>
      </c>
    </row>
    <row r="42" spans="1:11" x14ac:dyDescent="0.15">
      <c r="A42" s="2" t="s">
        <v>12</v>
      </c>
      <c r="B42" s="3">
        <v>31983.06</v>
      </c>
      <c r="C42" s="3">
        <v>53530</v>
      </c>
      <c r="D42" s="3">
        <v>75653.789999999994</v>
      </c>
      <c r="E42" s="3">
        <v>88627.9</v>
      </c>
      <c r="F42" s="3">
        <v>66406.45</v>
      </c>
      <c r="G42" s="3">
        <v>61378.82</v>
      </c>
      <c r="H42" s="3">
        <v>72229.289999999994</v>
      </c>
      <c r="I42" s="3">
        <v>78439.06</v>
      </c>
      <c r="J42" s="3">
        <v>71934.66</v>
      </c>
      <c r="K42" s="3">
        <v>79611.37</v>
      </c>
    </row>
    <row r="43" spans="1:11" x14ac:dyDescent="0.15">
      <c r="A43" s="2" t="s">
        <v>30</v>
      </c>
      <c r="B43" s="3">
        <v>31300.36</v>
      </c>
      <c r="C43" s="3">
        <v>47431.7</v>
      </c>
      <c r="D43" s="3">
        <v>63521.09</v>
      </c>
      <c r="E43" s="3">
        <v>75254.17</v>
      </c>
      <c r="F43" s="3">
        <v>61163.78</v>
      </c>
      <c r="G43" s="3">
        <v>57262.21</v>
      </c>
      <c r="H43" s="3">
        <v>65151.27</v>
      </c>
      <c r="I43" s="3">
        <v>70156.27</v>
      </c>
      <c r="J43" s="3">
        <v>69521.929999999993</v>
      </c>
      <c r="K43" s="3">
        <v>74039.06</v>
      </c>
    </row>
    <row r="44" spans="1:11" x14ac:dyDescent="0.15">
      <c r="A44" s="2" t="s">
        <v>20</v>
      </c>
      <c r="B44" s="3">
        <v>609.75</v>
      </c>
      <c r="C44" s="3">
        <v>638.1</v>
      </c>
      <c r="D44" s="3">
        <v>289.37</v>
      </c>
      <c r="E44" s="3">
        <v>-12655.05</v>
      </c>
      <c r="F44" s="3">
        <v>584.12</v>
      </c>
      <c r="G44" s="3">
        <v>862.46</v>
      </c>
      <c r="H44" s="3">
        <v>788.73</v>
      </c>
      <c r="I44" s="3">
        <v>188.74</v>
      </c>
      <c r="J44" s="3">
        <v>2380.98</v>
      </c>
      <c r="K44" s="3">
        <v>1351.14</v>
      </c>
    </row>
    <row r="45" spans="1:11" x14ac:dyDescent="0.15">
      <c r="A45" s="2" t="s">
        <v>21</v>
      </c>
      <c r="B45" s="3">
        <v>5599.37</v>
      </c>
      <c r="C45" s="3">
        <v>5601.47</v>
      </c>
      <c r="D45" s="3">
        <v>6128.75</v>
      </c>
      <c r="E45" s="3">
        <v>6217.12</v>
      </c>
      <c r="F45" s="3">
        <v>6202.13</v>
      </c>
      <c r="G45" s="3">
        <v>6123.32</v>
      </c>
      <c r="H45" s="3">
        <v>6078.13</v>
      </c>
      <c r="I45" s="3">
        <v>6432.11</v>
      </c>
      <c r="J45" s="3">
        <v>5841.04</v>
      </c>
      <c r="K45" s="3">
        <v>5897.34</v>
      </c>
    </row>
    <row r="46" spans="1:11" ht="15" x14ac:dyDescent="0.2">
      <c r="A46" s="2" t="s">
        <v>22</v>
      </c>
      <c r="B46" s="7">
        <v>1876.81</v>
      </c>
      <c r="C46" s="7">
        <v>1949.6</v>
      </c>
      <c r="D46" s="7">
        <v>2125.9299999999998</v>
      </c>
      <c r="E46" s="7">
        <v>2144.83</v>
      </c>
      <c r="F46" s="7">
        <v>2203.3000000000002</v>
      </c>
      <c r="G46" s="7">
        <v>2327.3000000000002</v>
      </c>
      <c r="H46" s="7">
        <v>2400.7399999999998</v>
      </c>
      <c r="I46" s="7">
        <v>2380.52</v>
      </c>
      <c r="J46" s="7">
        <v>2420.7199999999998</v>
      </c>
      <c r="K46" s="7">
        <v>2487.2600000000002</v>
      </c>
    </row>
    <row r="47" spans="1:11" x14ac:dyDescent="0.15">
      <c r="A47" s="2" t="s">
        <v>23</v>
      </c>
      <c r="B47" s="3">
        <v>-6183.73</v>
      </c>
      <c r="C47" s="3">
        <v>-814.67</v>
      </c>
      <c r="D47" s="3">
        <v>4167.3900000000003</v>
      </c>
      <c r="E47" s="3">
        <v>-7643.27</v>
      </c>
      <c r="F47" s="3">
        <v>-2578.64</v>
      </c>
      <c r="G47" s="3">
        <v>-3471.55</v>
      </c>
      <c r="H47" s="3">
        <v>-612.12</v>
      </c>
      <c r="I47" s="3">
        <v>-341.1</v>
      </c>
      <c r="J47" s="3">
        <v>-3468.05</v>
      </c>
      <c r="K47" s="3">
        <v>-1461.15</v>
      </c>
    </row>
    <row r="48" spans="1:11" x14ac:dyDescent="0.15">
      <c r="A48" s="2" t="s">
        <v>24</v>
      </c>
      <c r="B48" s="3">
        <v>2200.4899999999998</v>
      </c>
      <c r="C48" s="3">
        <v>-471.39</v>
      </c>
      <c r="D48" s="3">
        <v>945.18</v>
      </c>
      <c r="E48" s="3">
        <v>-132.41999999999999</v>
      </c>
      <c r="F48" s="3">
        <v>1741.96</v>
      </c>
      <c r="G48" s="3">
        <v>1005.06</v>
      </c>
      <c r="H48" s="3">
        <v>726.05</v>
      </c>
      <c r="I48" s="3">
        <v>758.22</v>
      </c>
      <c r="J48" s="3">
        <v>1518.96</v>
      </c>
      <c r="K48" s="3">
        <v>-457.08</v>
      </c>
    </row>
    <row r="49" spans="1:11" x14ac:dyDescent="0.15">
      <c r="A49" s="2" t="s">
        <v>25</v>
      </c>
      <c r="B49" s="3">
        <v>-8437.99</v>
      </c>
      <c r="C49" s="3">
        <v>-314.45</v>
      </c>
      <c r="D49" s="3">
        <v>2906.45</v>
      </c>
      <c r="E49" s="3">
        <v>-7605.4</v>
      </c>
      <c r="F49" s="3">
        <v>-4450.92</v>
      </c>
      <c r="G49" s="3">
        <v>-4441.57</v>
      </c>
      <c r="H49" s="3">
        <v>-1516.14</v>
      </c>
      <c r="I49" s="3">
        <v>-1032.8399999999999</v>
      </c>
      <c r="J49" s="3">
        <v>-5006.6000000000004</v>
      </c>
      <c r="K49" s="3">
        <v>-944.61</v>
      </c>
    </row>
    <row r="50" spans="1:11" x14ac:dyDescent="0.15">
      <c r="A50" s="2" t="s">
        <v>31</v>
      </c>
      <c r="B50" s="3">
        <v>682.7</v>
      </c>
      <c r="C50" s="3">
        <v>6098.3</v>
      </c>
      <c r="D50" s="3">
        <v>12132.7</v>
      </c>
      <c r="E50" s="3">
        <v>13373.73</v>
      </c>
      <c r="F50" s="3">
        <v>5242.67</v>
      </c>
      <c r="G50" s="3">
        <v>4116.6099999999997</v>
      </c>
      <c r="H50" s="3">
        <v>7078.02</v>
      </c>
      <c r="I50" s="3">
        <v>8282.7900000000009</v>
      </c>
      <c r="J50" s="3">
        <v>2412.73</v>
      </c>
      <c r="K50" s="3">
        <v>5572.31</v>
      </c>
    </row>
    <row r="51" spans="1:11" x14ac:dyDescent="0.15">
      <c r="A51" s="2" t="s">
        <v>28</v>
      </c>
      <c r="B51" s="2">
        <f>B49+B48+B46+B45</f>
        <v>1238.6799999999994</v>
      </c>
      <c r="C51" s="2">
        <f t="shared" ref="C51:K51" si="2">C49+C48+C46+C45</f>
        <v>6765.2300000000005</v>
      </c>
      <c r="D51" s="2">
        <f t="shared" si="2"/>
        <v>12106.31</v>
      </c>
      <c r="E51" s="2">
        <f t="shared" si="2"/>
        <v>624.13000000000011</v>
      </c>
      <c r="F51" s="2">
        <f t="shared" si="2"/>
        <v>5696.47</v>
      </c>
      <c r="G51" s="2">
        <f t="shared" si="2"/>
        <v>5014.1100000000006</v>
      </c>
      <c r="H51" s="2">
        <f t="shared" si="2"/>
        <v>7688.78</v>
      </c>
      <c r="I51" s="2">
        <f t="shared" si="2"/>
        <v>8538.01</v>
      </c>
      <c r="J51" s="2">
        <f t="shared" si="2"/>
        <v>4774.119999999999</v>
      </c>
      <c r="K51" s="2">
        <f t="shared" si="2"/>
        <v>6982.91</v>
      </c>
    </row>
    <row r="55" spans="1:11" x14ac:dyDescent="0.15">
      <c r="A55" s="1" t="s">
        <v>32</v>
      </c>
    </row>
    <row r="56" spans="1:11" s="6" customFormat="1" x14ac:dyDescent="0.15">
      <c r="A56" s="4" t="s">
        <v>11</v>
      </c>
      <c r="B56" s="5">
        <v>41364</v>
      </c>
      <c r="C56" s="5">
        <v>41729</v>
      </c>
      <c r="D56" s="5">
        <v>42094</v>
      </c>
      <c r="E56" s="5">
        <v>42460</v>
      </c>
      <c r="F56" s="5">
        <v>42825</v>
      </c>
      <c r="G56" s="5">
        <v>43190</v>
      </c>
      <c r="H56" s="5">
        <v>43555</v>
      </c>
      <c r="I56" s="5">
        <v>43921</v>
      </c>
      <c r="J56" s="5">
        <v>44286</v>
      </c>
      <c r="K56" s="5">
        <v>44651</v>
      </c>
    </row>
    <row r="57" spans="1:11" x14ac:dyDescent="0.15">
      <c r="A57" s="2" t="s">
        <v>33</v>
      </c>
      <c r="B57" s="3">
        <v>638.07000000000005</v>
      </c>
      <c r="C57" s="3">
        <v>643.78</v>
      </c>
      <c r="D57" s="3">
        <v>643.78</v>
      </c>
      <c r="E57" s="3">
        <v>679.18</v>
      </c>
      <c r="F57" s="3">
        <v>679.22</v>
      </c>
      <c r="G57" s="3">
        <v>679.22</v>
      </c>
      <c r="H57" s="3">
        <v>679.22</v>
      </c>
      <c r="I57" s="3">
        <v>719.54</v>
      </c>
      <c r="J57" s="3">
        <v>765.81</v>
      </c>
      <c r="K57" s="3">
        <v>765.88</v>
      </c>
    </row>
    <row r="58" spans="1:11" x14ac:dyDescent="0.15">
      <c r="A58" s="2" t="s">
        <v>34</v>
      </c>
      <c r="B58" s="3">
        <v>36999.230000000003</v>
      </c>
      <c r="C58" s="3">
        <v>64959.67</v>
      </c>
      <c r="D58" s="3">
        <v>55618.14</v>
      </c>
      <c r="E58" s="3">
        <v>78273.23</v>
      </c>
      <c r="F58" s="3">
        <v>57382.67</v>
      </c>
      <c r="G58" s="3">
        <v>94748.69</v>
      </c>
      <c r="H58" s="3">
        <v>59500.34</v>
      </c>
      <c r="I58" s="3">
        <v>61491.49</v>
      </c>
      <c r="J58" s="3">
        <v>54480.91</v>
      </c>
      <c r="K58" s="3">
        <v>43795.360000000001</v>
      </c>
    </row>
    <row r="59" spans="1:11" ht="15" x14ac:dyDescent="0.2">
      <c r="A59" s="2" t="s">
        <v>35</v>
      </c>
      <c r="B59" s="7">
        <v>53715.71</v>
      </c>
      <c r="C59" s="7">
        <v>60642.28</v>
      </c>
      <c r="D59" s="7">
        <v>73610.39</v>
      </c>
      <c r="E59" s="7">
        <v>69359.960000000006</v>
      </c>
      <c r="F59" s="7">
        <v>78603.98</v>
      </c>
      <c r="G59" s="7">
        <v>88950.47</v>
      </c>
      <c r="H59" s="7">
        <v>106175.34</v>
      </c>
      <c r="I59" s="7">
        <v>124787.64</v>
      </c>
      <c r="J59" s="7">
        <v>142130.57</v>
      </c>
      <c r="K59" s="7">
        <v>146449.03</v>
      </c>
    </row>
    <row r="60" spans="1:11" x14ac:dyDescent="0.15">
      <c r="A60" s="2" t="s">
        <v>36</v>
      </c>
      <c r="B60" s="3">
        <v>76977.02</v>
      </c>
      <c r="C60" s="3">
        <v>92180.26</v>
      </c>
      <c r="D60" s="3">
        <v>107442.48</v>
      </c>
      <c r="E60" s="3">
        <v>114871.75</v>
      </c>
      <c r="F60" s="3">
        <v>135914.49</v>
      </c>
      <c r="G60" s="3">
        <v>142813.43</v>
      </c>
      <c r="H60" s="3">
        <v>139348.59</v>
      </c>
      <c r="I60" s="3">
        <v>133180.72</v>
      </c>
      <c r="J60" s="3">
        <v>144192.62</v>
      </c>
      <c r="K60" s="3">
        <v>138051.22</v>
      </c>
    </row>
    <row r="61" spans="1:11" s="1" customFormat="1" x14ac:dyDescent="0.15">
      <c r="A61" s="1" t="s">
        <v>37</v>
      </c>
      <c r="B61" s="3">
        <v>168330.03</v>
      </c>
      <c r="C61" s="3">
        <v>218425.99</v>
      </c>
      <c r="D61" s="3">
        <v>237314.79</v>
      </c>
      <c r="E61" s="3">
        <v>263184.12</v>
      </c>
      <c r="F61" s="3">
        <v>272580.36</v>
      </c>
      <c r="G61" s="3">
        <v>327191.81</v>
      </c>
      <c r="H61" s="3">
        <v>305703.49</v>
      </c>
      <c r="I61" s="3">
        <v>320179.39</v>
      </c>
      <c r="J61" s="3">
        <v>341569.91</v>
      </c>
      <c r="K61" s="3">
        <v>329061.49</v>
      </c>
    </row>
    <row r="62" spans="1:11" x14ac:dyDescent="0.15">
      <c r="A62" s="2" t="s">
        <v>38</v>
      </c>
      <c r="B62" s="3">
        <v>55511.73</v>
      </c>
      <c r="C62" s="3">
        <v>69091.67</v>
      </c>
      <c r="D62" s="3">
        <v>88479.49</v>
      </c>
      <c r="E62" s="3">
        <v>107231.76</v>
      </c>
      <c r="F62" s="3">
        <v>95944.08</v>
      </c>
      <c r="G62" s="3">
        <v>121413.86</v>
      </c>
      <c r="H62" s="3">
        <v>111234.47</v>
      </c>
      <c r="I62" s="3">
        <v>127107.14</v>
      </c>
      <c r="J62" s="3">
        <v>138707.60999999999</v>
      </c>
      <c r="K62" s="3">
        <v>138855.45000000001</v>
      </c>
    </row>
    <row r="63" spans="1:11" x14ac:dyDescent="0.15">
      <c r="A63" s="2" t="s">
        <v>39</v>
      </c>
      <c r="B63" s="3">
        <v>18453.55</v>
      </c>
      <c r="C63" s="3">
        <v>33262.559999999998</v>
      </c>
      <c r="D63" s="3">
        <v>28640.09</v>
      </c>
      <c r="E63" s="3">
        <v>25918.94</v>
      </c>
      <c r="F63" s="3">
        <v>33698.839999999997</v>
      </c>
      <c r="G63" s="3">
        <v>40033.5</v>
      </c>
      <c r="H63" s="3">
        <v>31883.84</v>
      </c>
      <c r="I63" s="3">
        <v>35622.29</v>
      </c>
      <c r="J63" s="3">
        <v>20963.93</v>
      </c>
      <c r="K63" s="3">
        <v>10251.09</v>
      </c>
    </row>
    <row r="64" spans="1:11" ht="15" x14ac:dyDescent="0.2">
      <c r="A64" s="2" t="s">
        <v>40</v>
      </c>
      <c r="B64" s="3">
        <v>8764.73</v>
      </c>
      <c r="C64" s="7">
        <v>10686.67</v>
      </c>
      <c r="D64" s="3">
        <v>15336.74</v>
      </c>
      <c r="E64" s="3">
        <v>23767.02</v>
      </c>
      <c r="F64" s="3">
        <v>20337.919999999998</v>
      </c>
      <c r="G64" s="3">
        <v>20812.75</v>
      </c>
      <c r="H64" s="3">
        <v>15770.72</v>
      </c>
      <c r="I64" s="3">
        <v>16308.48</v>
      </c>
      <c r="J64" s="3">
        <v>24620.28</v>
      </c>
      <c r="K64" s="3">
        <v>29379.53</v>
      </c>
    </row>
    <row r="65" spans="1:11" x14ac:dyDescent="0.15">
      <c r="A65" s="2" t="s">
        <v>41</v>
      </c>
      <c r="B65" s="3">
        <v>85600.02</v>
      </c>
      <c r="C65" s="3">
        <v>105385.09</v>
      </c>
      <c r="D65" s="3">
        <v>104858.47</v>
      </c>
      <c r="E65" s="3">
        <v>106266.4</v>
      </c>
      <c r="F65" s="3">
        <v>122599.52</v>
      </c>
      <c r="G65" s="3">
        <v>144931.70000000001</v>
      </c>
      <c r="H65" s="3">
        <v>146814.46</v>
      </c>
      <c r="I65" s="3">
        <v>141141.48000000001</v>
      </c>
      <c r="J65" s="3">
        <v>157278.09</v>
      </c>
      <c r="K65" s="3">
        <v>150575.42000000001</v>
      </c>
    </row>
    <row r="66" spans="1:11" s="1" customFormat="1" x14ac:dyDescent="0.15">
      <c r="A66" s="1" t="s">
        <v>37</v>
      </c>
      <c r="B66" s="3">
        <v>168330.03</v>
      </c>
      <c r="C66" s="3">
        <v>218425.99</v>
      </c>
      <c r="D66" s="3">
        <v>237314.79</v>
      </c>
      <c r="E66" s="3">
        <v>263184.12</v>
      </c>
      <c r="F66" s="3">
        <v>272580.36</v>
      </c>
      <c r="G66" s="3">
        <v>327191.81</v>
      </c>
      <c r="H66" s="3">
        <v>305703.49</v>
      </c>
      <c r="I66" s="3">
        <v>320179.39</v>
      </c>
      <c r="J66" s="3">
        <v>341569.91</v>
      </c>
      <c r="K66" s="3">
        <v>329061.49</v>
      </c>
    </row>
    <row r="67" spans="1:11" x14ac:dyDescent="0.15">
      <c r="A67" s="2" t="s">
        <v>42</v>
      </c>
      <c r="B67" s="3">
        <v>10959.6</v>
      </c>
      <c r="C67" s="3">
        <v>10574.23</v>
      </c>
      <c r="D67" s="3">
        <v>12579.2</v>
      </c>
      <c r="E67" s="3">
        <v>13570.91</v>
      </c>
      <c r="F67" s="3">
        <v>14075.55</v>
      </c>
      <c r="G67" s="3">
        <v>19893.3</v>
      </c>
      <c r="H67" s="3">
        <v>18996.169999999998</v>
      </c>
      <c r="I67" s="3">
        <v>11172.69</v>
      </c>
      <c r="J67" s="3">
        <v>12679.08</v>
      </c>
      <c r="K67" s="3">
        <v>12442.12</v>
      </c>
    </row>
    <row r="68" spans="1:11" ht="15" x14ac:dyDescent="0.2">
      <c r="A68" s="2" t="s">
        <v>43</v>
      </c>
      <c r="B68" s="7">
        <v>21036.82</v>
      </c>
      <c r="C68" s="7">
        <v>27270.89</v>
      </c>
      <c r="D68" s="7">
        <v>29272.34</v>
      </c>
      <c r="E68" s="7">
        <v>32655.73</v>
      </c>
      <c r="F68" s="7">
        <v>35085.31</v>
      </c>
      <c r="G68" s="7">
        <v>42137.63</v>
      </c>
      <c r="H68" s="7">
        <v>39013.730000000003</v>
      </c>
      <c r="I68" s="7">
        <v>37456.879999999997</v>
      </c>
      <c r="J68" s="7">
        <v>36088.589999999997</v>
      </c>
      <c r="K68" s="7">
        <v>35240.339999999997</v>
      </c>
    </row>
    <row r="69" spans="1:11" x14ac:dyDescent="0.15">
      <c r="A69" s="2" t="s">
        <v>44</v>
      </c>
      <c r="B69" s="3">
        <v>21114.82</v>
      </c>
      <c r="C69" s="3">
        <v>29711.79</v>
      </c>
      <c r="D69" s="3">
        <v>32115.759999999998</v>
      </c>
      <c r="E69" s="3">
        <v>30460.400000000001</v>
      </c>
      <c r="F69" s="3">
        <v>36077.879999999997</v>
      </c>
      <c r="G69" s="3">
        <v>34613.910000000003</v>
      </c>
      <c r="H69" s="3">
        <v>32648.82</v>
      </c>
      <c r="I69" s="3">
        <v>33726.97</v>
      </c>
      <c r="J69" s="3">
        <v>46792.46</v>
      </c>
      <c r="K69" s="3">
        <v>40669.19</v>
      </c>
    </row>
    <row r="70" spans="1:11" x14ac:dyDescent="0.15">
      <c r="A70" s="2" t="s">
        <v>45</v>
      </c>
      <c r="B70" s="3">
        <v>3190115771</v>
      </c>
      <c r="C70" s="3">
        <v>3218930000</v>
      </c>
      <c r="D70" s="3">
        <v>3218930067</v>
      </c>
      <c r="E70" s="3">
        <v>3395930306</v>
      </c>
      <c r="F70" s="3">
        <v>3396100719</v>
      </c>
      <c r="G70" s="3">
        <v>3396100719</v>
      </c>
      <c r="H70" s="3">
        <v>3396100719</v>
      </c>
      <c r="I70" s="3">
        <v>3597726185</v>
      </c>
      <c r="J70" s="3">
        <v>3829060661</v>
      </c>
      <c r="K70" s="3">
        <v>3829414903</v>
      </c>
    </row>
    <row r="71" spans="1:11" ht="14" x14ac:dyDescent="0.15">
      <c r="A71" s="2" t="s">
        <v>46</v>
      </c>
      <c r="B71" s="9"/>
      <c r="C71" s="9"/>
      <c r="G71" s="9"/>
      <c r="H71" s="9"/>
    </row>
    <row r="72" spans="1:11" x14ac:dyDescent="0.15">
      <c r="A72" s="2" t="s">
        <v>47</v>
      </c>
      <c r="B72" s="3">
        <v>2</v>
      </c>
      <c r="C72" s="3">
        <v>2</v>
      </c>
      <c r="D72" s="3">
        <v>2</v>
      </c>
      <c r="E72" s="3">
        <v>2</v>
      </c>
      <c r="F72" s="3">
        <v>2</v>
      </c>
      <c r="G72" s="3">
        <v>2</v>
      </c>
      <c r="H72" s="3">
        <v>2</v>
      </c>
      <c r="I72" s="3">
        <v>2</v>
      </c>
      <c r="J72" s="3">
        <v>2</v>
      </c>
      <c r="K72" s="3">
        <v>2</v>
      </c>
    </row>
    <row r="73" spans="1:11" x14ac:dyDescent="0.15">
      <c r="H73" s="2">
        <f>H62-G62+H45</f>
        <v>-4101.2599999999993</v>
      </c>
      <c r="I73" s="2">
        <f t="shared" ref="I73:K73" si="3">I62-H62+I45</f>
        <v>22304.78</v>
      </c>
      <c r="J73" s="2">
        <f t="shared" si="3"/>
        <v>17441.509999999987</v>
      </c>
      <c r="K73" s="2">
        <f t="shared" si="3"/>
        <v>6045.1800000000258</v>
      </c>
    </row>
    <row r="80" spans="1:11" x14ac:dyDescent="0.15">
      <c r="A80" s="1" t="s">
        <v>48</v>
      </c>
    </row>
    <row r="81" spans="1:12" s="6" customFormat="1" x14ac:dyDescent="0.15">
      <c r="A81" s="4" t="s">
        <v>11</v>
      </c>
      <c r="B81" s="5">
        <v>41364</v>
      </c>
      <c r="C81" s="5">
        <v>41729</v>
      </c>
      <c r="D81" s="5">
        <v>42094</v>
      </c>
      <c r="E81" s="5">
        <v>42460</v>
      </c>
      <c r="F81" s="5">
        <v>42825</v>
      </c>
      <c r="G81" s="5">
        <v>43190</v>
      </c>
      <c r="H81" s="5">
        <v>43555</v>
      </c>
      <c r="I81" s="5">
        <v>43921</v>
      </c>
      <c r="J81" s="5">
        <v>44286</v>
      </c>
      <c r="K81" s="5">
        <v>44651</v>
      </c>
      <c r="L81" s="5"/>
    </row>
    <row r="82" spans="1:12" s="1" customFormat="1" x14ac:dyDescent="0.15">
      <c r="A82" s="2" t="s">
        <v>49</v>
      </c>
      <c r="B82" s="3">
        <v>22162.61</v>
      </c>
      <c r="C82" s="3">
        <v>36151.160000000003</v>
      </c>
      <c r="D82" s="3">
        <v>35531.26</v>
      </c>
      <c r="E82" s="3">
        <v>37899.54</v>
      </c>
      <c r="F82" s="3">
        <v>30199.25</v>
      </c>
      <c r="G82" s="3">
        <v>23857.42</v>
      </c>
      <c r="H82" s="3">
        <v>18890.75</v>
      </c>
      <c r="I82" s="3">
        <v>26632.94</v>
      </c>
      <c r="J82" s="3">
        <v>29000.51</v>
      </c>
      <c r="K82" s="3">
        <v>14282.83</v>
      </c>
    </row>
    <row r="83" spans="1:12" x14ac:dyDescent="0.15">
      <c r="A83" s="2" t="s">
        <v>50</v>
      </c>
      <c r="B83" s="3">
        <v>-22969.45</v>
      </c>
      <c r="C83" s="3">
        <v>-27990.91</v>
      </c>
      <c r="D83" s="3">
        <v>-36232.35</v>
      </c>
      <c r="E83" s="3">
        <v>-36693.9</v>
      </c>
      <c r="F83" s="3">
        <v>-39571.4</v>
      </c>
      <c r="G83" s="3">
        <v>-25139.14</v>
      </c>
      <c r="H83" s="3">
        <v>-20878.07</v>
      </c>
      <c r="I83" s="3">
        <v>-33114.550000000003</v>
      </c>
      <c r="J83" s="3">
        <v>-25672.5</v>
      </c>
      <c r="K83" s="3">
        <v>-4443.66</v>
      </c>
    </row>
    <row r="84" spans="1:12" x14ac:dyDescent="0.15">
      <c r="A84" s="2" t="s">
        <v>51</v>
      </c>
      <c r="B84" s="3">
        <v>-1692.08</v>
      </c>
      <c r="C84" s="3">
        <v>-3883.24</v>
      </c>
      <c r="D84" s="3">
        <v>5201.4399999999996</v>
      </c>
      <c r="E84" s="3">
        <v>-3795.12</v>
      </c>
      <c r="F84" s="3">
        <v>6205.3</v>
      </c>
      <c r="G84" s="3">
        <v>2011.71</v>
      </c>
      <c r="H84" s="3">
        <v>8830.3700000000008</v>
      </c>
      <c r="I84" s="3">
        <v>3389.61</v>
      </c>
      <c r="J84" s="3">
        <v>9904.2000000000007</v>
      </c>
      <c r="K84" s="3">
        <v>-3380.17</v>
      </c>
    </row>
    <row r="85" spans="1:12" s="1" customFormat="1" x14ac:dyDescent="0.15">
      <c r="A85" s="2" t="s">
        <v>52</v>
      </c>
      <c r="B85" s="3">
        <v>-2498.92</v>
      </c>
      <c r="C85" s="3">
        <v>4277.01</v>
      </c>
      <c r="D85" s="3">
        <v>4500.3500000000004</v>
      </c>
      <c r="E85" s="3">
        <v>-2589.48</v>
      </c>
      <c r="F85" s="3">
        <v>-3166.85</v>
      </c>
      <c r="G85" s="3">
        <v>729.99</v>
      </c>
      <c r="H85" s="3">
        <v>6843.05</v>
      </c>
      <c r="I85" s="3">
        <v>-3092</v>
      </c>
      <c r="J85" s="3">
        <v>13232.21</v>
      </c>
      <c r="K85" s="3">
        <v>6459</v>
      </c>
    </row>
    <row r="90" spans="1:12" s="1" customFormat="1" x14ac:dyDescent="0.15">
      <c r="A90" s="1" t="s">
        <v>53</v>
      </c>
      <c r="B90" s="3">
        <v>266.3</v>
      </c>
      <c r="C90" s="3">
        <v>394.42</v>
      </c>
      <c r="D90" s="3">
        <v>544.37</v>
      </c>
      <c r="E90" s="3">
        <v>386.6</v>
      </c>
      <c r="F90" s="3">
        <v>465.85</v>
      </c>
      <c r="G90" s="3">
        <v>326.85000000000002</v>
      </c>
      <c r="H90" s="3">
        <v>174.25</v>
      </c>
      <c r="I90" s="3">
        <v>71.05</v>
      </c>
      <c r="J90" s="3">
        <v>301.8</v>
      </c>
      <c r="K90" s="3">
        <v>433.75</v>
      </c>
    </row>
    <row r="92" spans="1:12" s="1" customFormat="1" x14ac:dyDescent="0.15">
      <c r="A92" s="1" t="s">
        <v>54</v>
      </c>
    </row>
    <row r="93" spans="1:12" x14ac:dyDescent="0.15">
      <c r="A93" s="2" t="s">
        <v>55</v>
      </c>
      <c r="B93" s="10">
        <v>285.72000000000003</v>
      </c>
      <c r="C93" s="10">
        <v>288.74</v>
      </c>
      <c r="D93" s="10">
        <v>288.74</v>
      </c>
      <c r="E93" s="10">
        <v>288.72000000000003</v>
      </c>
      <c r="F93" s="10">
        <v>288.73</v>
      </c>
      <c r="G93" s="10">
        <v>288.73</v>
      </c>
      <c r="H93" s="10">
        <v>288.73</v>
      </c>
      <c r="I93" s="10">
        <v>308.89999999999998</v>
      </c>
      <c r="J93" s="10">
        <v>332.03</v>
      </c>
      <c r="K93" s="10">
        <v>332.07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FFE5-51D9-694F-B870-16B3354C314C}">
  <dimension ref="B9:N78"/>
  <sheetViews>
    <sheetView showGridLines="0" topLeftCell="A20" workbookViewId="0">
      <selection activeCell="O48" sqref="O48"/>
    </sheetView>
  </sheetViews>
  <sheetFormatPr baseColWidth="10" defaultRowHeight="15" x14ac:dyDescent="0.2"/>
  <cols>
    <col min="1" max="1" width="2" customWidth="1"/>
    <col min="2" max="2" width="21" customWidth="1"/>
  </cols>
  <sheetData>
    <row r="9" spans="2:14" x14ac:dyDescent="0.2">
      <c r="B9" s="17" t="s">
        <v>247</v>
      </c>
      <c r="C9" s="18">
        <v>42064</v>
      </c>
      <c r="D9" s="18">
        <v>42430</v>
      </c>
      <c r="E9" s="18">
        <v>42795</v>
      </c>
      <c r="F9" s="18">
        <v>43160</v>
      </c>
      <c r="G9" s="18">
        <v>43525</v>
      </c>
      <c r="H9" s="18">
        <v>43891</v>
      </c>
      <c r="I9" s="18">
        <v>44256</v>
      </c>
      <c r="J9" s="18">
        <v>44621</v>
      </c>
      <c r="K9" s="18">
        <v>44986</v>
      </c>
      <c r="L9" s="18">
        <v>45352</v>
      </c>
      <c r="M9" s="18">
        <v>45717</v>
      </c>
      <c r="N9" s="18">
        <v>46082</v>
      </c>
    </row>
    <row r="10" spans="2:14" x14ac:dyDescent="0.2"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</row>
    <row r="11" spans="2:14" x14ac:dyDescent="0.2">
      <c r="B11" t="s">
        <v>216</v>
      </c>
      <c r="C11">
        <v>644</v>
      </c>
      <c r="D11">
        <v>679</v>
      </c>
      <c r="E11">
        <v>679</v>
      </c>
      <c r="F11">
        <v>679</v>
      </c>
      <c r="G11">
        <v>679</v>
      </c>
      <c r="H11">
        <v>720</v>
      </c>
      <c r="I11">
        <v>766</v>
      </c>
      <c r="J11">
        <v>766</v>
      </c>
      <c r="K11">
        <v>766</v>
      </c>
      <c r="L11">
        <v>767</v>
      </c>
      <c r="M11">
        <v>736</v>
      </c>
      <c r="N11">
        <v>737</v>
      </c>
    </row>
    <row r="12" spans="2:14" x14ac:dyDescent="0.2">
      <c r="B12" t="s">
        <v>34</v>
      </c>
      <c r="C12" s="15">
        <v>55618</v>
      </c>
      <c r="D12" s="15">
        <v>78273</v>
      </c>
      <c r="E12" s="15">
        <v>57383</v>
      </c>
      <c r="F12" s="15">
        <v>94749</v>
      </c>
      <c r="G12" s="15">
        <v>59500</v>
      </c>
      <c r="H12" s="15">
        <v>62359</v>
      </c>
      <c r="I12" s="15">
        <v>54481</v>
      </c>
      <c r="J12" s="15">
        <v>43795</v>
      </c>
      <c r="K12" s="15">
        <v>44556</v>
      </c>
      <c r="L12" s="15">
        <v>84151</v>
      </c>
      <c r="M12" s="15">
        <v>115408</v>
      </c>
      <c r="N12" s="15">
        <v>111331</v>
      </c>
    </row>
    <row r="13" spans="2:14" x14ac:dyDescent="0.2">
      <c r="B13" t="s">
        <v>217</v>
      </c>
      <c r="C13" s="15">
        <v>73610</v>
      </c>
      <c r="D13" s="15">
        <v>69360</v>
      </c>
      <c r="E13" s="15">
        <v>78604</v>
      </c>
      <c r="F13" s="15">
        <v>88950</v>
      </c>
      <c r="G13" s="15">
        <v>106175</v>
      </c>
      <c r="H13" s="15">
        <v>124788</v>
      </c>
      <c r="I13" s="15">
        <v>142131</v>
      </c>
      <c r="J13" s="15">
        <v>146449</v>
      </c>
      <c r="K13" s="15">
        <v>134113</v>
      </c>
      <c r="L13" s="15">
        <v>107264</v>
      </c>
      <c r="M13" s="15">
        <v>71540</v>
      </c>
      <c r="N13" s="15">
        <v>79109</v>
      </c>
    </row>
    <row r="14" spans="2:14" x14ac:dyDescent="0.2">
      <c r="B14" t="s">
        <v>218</v>
      </c>
      <c r="C14" s="15">
        <v>56071</v>
      </c>
      <c r="D14" s="15">
        <v>50510</v>
      </c>
      <c r="E14" s="15">
        <v>60629</v>
      </c>
      <c r="F14" s="15">
        <v>61200</v>
      </c>
      <c r="G14" s="15">
        <v>70818</v>
      </c>
      <c r="H14" s="15">
        <v>83316</v>
      </c>
      <c r="I14" s="15">
        <v>93113</v>
      </c>
      <c r="J14" s="15">
        <v>97759</v>
      </c>
      <c r="K14" s="15">
        <v>88696</v>
      </c>
      <c r="L14" s="15">
        <v>62149</v>
      </c>
      <c r="M14" s="15">
        <v>40217</v>
      </c>
      <c r="N14" s="15">
        <v>44248</v>
      </c>
    </row>
    <row r="15" spans="2:14" x14ac:dyDescent="0.2">
      <c r="B15" t="s">
        <v>219</v>
      </c>
      <c r="C15" s="15">
        <v>13140</v>
      </c>
      <c r="D15" s="15">
        <v>11451</v>
      </c>
      <c r="E15" s="15">
        <v>13860</v>
      </c>
      <c r="F15" s="15">
        <v>16795</v>
      </c>
      <c r="G15" s="15">
        <v>20150</v>
      </c>
      <c r="H15" s="15">
        <v>16363</v>
      </c>
      <c r="I15" s="15">
        <v>42792</v>
      </c>
      <c r="J15" s="15">
        <v>41918</v>
      </c>
      <c r="K15" s="15">
        <v>36965</v>
      </c>
      <c r="L15" s="15">
        <v>36352</v>
      </c>
      <c r="M15" s="15">
        <v>22282</v>
      </c>
      <c r="N15" s="15">
        <v>25705</v>
      </c>
    </row>
    <row r="16" spans="2:14" x14ac:dyDescent="0.2">
      <c r="B16" t="s">
        <v>220</v>
      </c>
      <c r="C16">
        <v>0</v>
      </c>
      <c r="D16">
        <v>0</v>
      </c>
      <c r="E16">
        <v>0</v>
      </c>
      <c r="F16">
        <v>0</v>
      </c>
      <c r="G16">
        <v>173</v>
      </c>
      <c r="H16" s="15">
        <v>5977</v>
      </c>
      <c r="I16" s="15">
        <v>6226</v>
      </c>
      <c r="J16" s="15">
        <v>6772</v>
      </c>
      <c r="K16" s="15">
        <v>8453</v>
      </c>
      <c r="L16" s="15">
        <v>8763</v>
      </c>
      <c r="M16" s="15">
        <v>9041</v>
      </c>
      <c r="N16" s="15">
        <v>9156</v>
      </c>
    </row>
    <row r="17" spans="2:14" x14ac:dyDescent="0.2">
      <c r="B17" t="s">
        <v>221</v>
      </c>
      <c r="C17" s="15">
        <v>4399</v>
      </c>
      <c r="D17" s="15">
        <v>7399</v>
      </c>
      <c r="E17" s="15">
        <v>4115</v>
      </c>
      <c r="F17" s="15">
        <v>10956</v>
      </c>
      <c r="G17" s="15">
        <v>15034</v>
      </c>
      <c r="H17" s="15">
        <v>19132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2:14" x14ac:dyDescent="0.2">
      <c r="B18" t="s">
        <v>222</v>
      </c>
      <c r="C18" s="15">
        <v>107442</v>
      </c>
      <c r="D18" s="15">
        <v>114872</v>
      </c>
      <c r="E18" s="15">
        <v>135914</v>
      </c>
      <c r="F18" s="15">
        <v>142813</v>
      </c>
      <c r="G18" s="15">
        <v>139349</v>
      </c>
      <c r="H18" s="15">
        <v>132313</v>
      </c>
      <c r="I18" s="15">
        <v>144193</v>
      </c>
      <c r="J18" s="15">
        <v>138051</v>
      </c>
      <c r="K18" s="15">
        <v>155239</v>
      </c>
      <c r="L18" s="15">
        <v>177339</v>
      </c>
      <c r="M18" s="15">
        <v>189289</v>
      </c>
      <c r="N18" s="15">
        <v>188012</v>
      </c>
    </row>
    <row r="19" spans="2:14" x14ac:dyDescent="0.2">
      <c r="B19" t="s">
        <v>223</v>
      </c>
      <c r="C19">
        <v>433</v>
      </c>
      <c r="D19">
        <v>433</v>
      </c>
      <c r="E19">
        <v>453</v>
      </c>
      <c r="F19">
        <v>525</v>
      </c>
      <c r="G19">
        <v>523</v>
      </c>
      <c r="H19">
        <v>814</v>
      </c>
      <c r="I19" s="15">
        <v>1573</v>
      </c>
      <c r="J19" s="15">
        <v>4271</v>
      </c>
      <c r="K19" s="15">
        <v>7278</v>
      </c>
      <c r="L19" s="15">
        <v>8176</v>
      </c>
      <c r="M19" s="15">
        <v>6610</v>
      </c>
      <c r="N19" s="15">
        <v>6774</v>
      </c>
    </row>
    <row r="20" spans="2:14" x14ac:dyDescent="0.2">
      <c r="B20" t="s">
        <v>224</v>
      </c>
      <c r="C20" s="15">
        <v>57407</v>
      </c>
      <c r="D20" s="15">
        <v>61562</v>
      </c>
      <c r="E20" s="15">
        <v>62533</v>
      </c>
      <c r="F20" s="15">
        <v>76940</v>
      </c>
      <c r="G20" s="15">
        <v>71691</v>
      </c>
      <c r="H20" s="15">
        <v>66398</v>
      </c>
      <c r="I20" s="15">
        <v>76040</v>
      </c>
      <c r="J20" s="15">
        <v>69750</v>
      </c>
      <c r="K20" s="15">
        <v>79252</v>
      </c>
      <c r="L20" s="15">
        <v>93978</v>
      </c>
      <c r="M20" s="15">
        <v>97368</v>
      </c>
      <c r="N20" s="15">
        <v>92780</v>
      </c>
    </row>
    <row r="21" spans="2:14" x14ac:dyDescent="0.2">
      <c r="B21" t="s">
        <v>225</v>
      </c>
      <c r="C21" s="15">
        <v>2289</v>
      </c>
      <c r="D21" s="15">
        <v>2165</v>
      </c>
      <c r="E21" s="15">
        <v>1711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2">
      <c r="B22" t="s">
        <v>226</v>
      </c>
      <c r="C22" s="15">
        <v>47313</v>
      </c>
      <c r="D22" s="15">
        <v>50712</v>
      </c>
      <c r="E22" s="15">
        <v>71218</v>
      </c>
      <c r="F22" s="15">
        <v>65349</v>
      </c>
      <c r="G22" s="15">
        <v>67135</v>
      </c>
      <c r="H22" s="15">
        <v>65101</v>
      </c>
      <c r="I22" s="15">
        <v>66579</v>
      </c>
      <c r="J22" s="15">
        <v>64030</v>
      </c>
      <c r="K22" s="15">
        <v>68710</v>
      </c>
      <c r="L22" s="15">
        <v>75185</v>
      </c>
      <c r="M22" s="15">
        <v>85311</v>
      </c>
      <c r="N22" s="15">
        <v>88458</v>
      </c>
    </row>
    <row r="23" spans="2:14" x14ac:dyDescent="0.2">
      <c r="B23" s="12" t="s">
        <v>71</v>
      </c>
      <c r="C23" s="71">
        <v>237315</v>
      </c>
      <c r="D23" s="71">
        <v>263184</v>
      </c>
      <c r="E23" s="71">
        <v>272580</v>
      </c>
      <c r="F23" s="71">
        <v>327192</v>
      </c>
      <c r="G23" s="71">
        <v>305703</v>
      </c>
      <c r="H23" s="71">
        <v>320179</v>
      </c>
      <c r="I23" s="71">
        <v>341570</v>
      </c>
      <c r="J23" s="71">
        <v>329061</v>
      </c>
      <c r="K23" s="71">
        <v>334674</v>
      </c>
      <c r="L23" s="71">
        <v>369521</v>
      </c>
      <c r="M23" s="71">
        <v>376973</v>
      </c>
      <c r="N23" s="71">
        <v>379189</v>
      </c>
    </row>
    <row r="24" spans="2:14" x14ac:dyDescent="0.2">
      <c r="B24" t="s">
        <v>227</v>
      </c>
      <c r="C24" s="15">
        <v>88479</v>
      </c>
      <c r="D24" s="15">
        <v>107232</v>
      </c>
      <c r="E24" s="15">
        <v>95944</v>
      </c>
      <c r="F24" s="15">
        <v>121414</v>
      </c>
      <c r="G24" s="15">
        <v>111234</v>
      </c>
      <c r="H24" s="15">
        <v>127107</v>
      </c>
      <c r="I24" s="15">
        <v>138708</v>
      </c>
      <c r="J24" s="15">
        <v>138855</v>
      </c>
      <c r="K24" s="15">
        <v>132080</v>
      </c>
      <c r="L24" s="15">
        <v>121285</v>
      </c>
      <c r="M24" s="15">
        <v>115697</v>
      </c>
      <c r="N24" s="15">
        <v>104656</v>
      </c>
    </row>
    <row r="25" spans="2:14" x14ac:dyDescent="0.2">
      <c r="B25" t="s">
        <v>228</v>
      </c>
      <c r="C25" s="15">
        <v>2513</v>
      </c>
      <c r="D25" s="15">
        <v>7185</v>
      </c>
      <c r="E25" s="15">
        <v>6762</v>
      </c>
      <c r="F25" s="15">
        <v>7339</v>
      </c>
      <c r="G25" s="15">
        <v>7286</v>
      </c>
      <c r="H25" s="15">
        <v>7675</v>
      </c>
      <c r="I25" s="15">
        <v>7819</v>
      </c>
      <c r="J25" s="15">
        <v>7760</v>
      </c>
      <c r="K25" s="15">
        <v>8045</v>
      </c>
      <c r="L25" s="15">
        <v>7996</v>
      </c>
      <c r="M25" s="15">
        <v>7900</v>
      </c>
      <c r="N25" s="15">
        <v>6037</v>
      </c>
    </row>
    <row r="26" spans="2:14" x14ac:dyDescent="0.2">
      <c r="B26" t="s">
        <v>229</v>
      </c>
      <c r="C26" s="15">
        <v>13396</v>
      </c>
      <c r="D26" s="15">
        <v>12343</v>
      </c>
      <c r="E26" s="15">
        <v>12164</v>
      </c>
      <c r="F26" s="15">
        <v>16552</v>
      </c>
      <c r="G26" s="15">
        <v>22938</v>
      </c>
      <c r="H26" s="15">
        <v>32665</v>
      </c>
      <c r="I26" s="15">
        <v>35537</v>
      </c>
      <c r="J26" s="15">
        <v>36466</v>
      </c>
      <c r="K26" s="15">
        <v>38674</v>
      </c>
      <c r="L26" s="15">
        <v>40583</v>
      </c>
      <c r="M26" s="15">
        <v>44771</v>
      </c>
      <c r="N26" s="15">
        <v>47193</v>
      </c>
    </row>
    <row r="27" spans="2:14" x14ac:dyDescent="0.2">
      <c r="B27" t="s">
        <v>230</v>
      </c>
      <c r="C27" s="15">
        <v>88943</v>
      </c>
      <c r="D27" s="15">
        <v>80063</v>
      </c>
      <c r="E27" s="15">
        <v>79976</v>
      </c>
      <c r="F27" s="15">
        <v>100226</v>
      </c>
      <c r="G27" s="15">
        <v>109415</v>
      </c>
      <c r="H27" s="15">
        <v>124158</v>
      </c>
      <c r="I27" s="15">
        <v>138868</v>
      </c>
      <c r="J27" s="15">
        <v>148585</v>
      </c>
      <c r="K27" s="15">
        <v>153672</v>
      </c>
      <c r="L27" s="15">
        <v>151877</v>
      </c>
      <c r="M27" s="15">
        <v>155945</v>
      </c>
      <c r="N27" s="15">
        <v>148454</v>
      </c>
    </row>
    <row r="28" spans="2:14" x14ac:dyDescent="0.2">
      <c r="B28" t="s">
        <v>231</v>
      </c>
      <c r="C28">
        <v>482</v>
      </c>
      <c r="D28">
        <v>498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2:14" x14ac:dyDescent="0.2">
      <c r="B29" t="s">
        <v>232</v>
      </c>
      <c r="C29" s="15">
        <v>1364</v>
      </c>
      <c r="D29" s="15">
        <v>1634</v>
      </c>
      <c r="E29" s="15">
        <v>1767</v>
      </c>
      <c r="F29" s="15">
        <v>1943</v>
      </c>
      <c r="G29" s="15">
        <v>2335</v>
      </c>
      <c r="H29" s="15">
        <v>3054</v>
      </c>
      <c r="I29" s="15">
        <v>3172</v>
      </c>
      <c r="J29" s="15">
        <v>3383</v>
      </c>
      <c r="K29" s="15">
        <v>3499</v>
      </c>
      <c r="L29" s="15">
        <v>3667</v>
      </c>
      <c r="M29" s="15">
        <v>3879</v>
      </c>
      <c r="N29" s="15">
        <v>3606</v>
      </c>
    </row>
    <row r="30" spans="2:14" x14ac:dyDescent="0.2">
      <c r="B30" t="s">
        <v>233</v>
      </c>
      <c r="C30" s="15">
        <v>1149</v>
      </c>
      <c r="D30" s="15">
        <v>1241</v>
      </c>
      <c r="E30" s="15">
        <v>1401</v>
      </c>
      <c r="F30" s="15">
        <v>1430</v>
      </c>
      <c r="G30" s="15">
        <v>1626</v>
      </c>
      <c r="H30" s="15">
        <v>1890</v>
      </c>
      <c r="I30" s="15">
        <v>1956</v>
      </c>
      <c r="J30" s="15">
        <v>1984</v>
      </c>
      <c r="K30" s="15">
        <v>2084</v>
      </c>
      <c r="L30" s="15">
        <v>2029</v>
      </c>
      <c r="M30" s="15">
        <v>1970</v>
      </c>
      <c r="N30" s="15">
        <v>1886</v>
      </c>
    </row>
    <row r="31" spans="2:14" x14ac:dyDescent="0.2">
      <c r="B31" t="s">
        <v>234</v>
      </c>
      <c r="C31">
        <v>280</v>
      </c>
      <c r="D31">
        <v>280</v>
      </c>
      <c r="E31">
        <v>291</v>
      </c>
      <c r="F31">
        <v>353</v>
      </c>
      <c r="G31">
        <v>387</v>
      </c>
      <c r="H31">
        <v>601</v>
      </c>
      <c r="I31">
        <v>845</v>
      </c>
      <c r="J31">
        <v>725</v>
      </c>
      <c r="K31">
        <v>788</v>
      </c>
      <c r="L31">
        <v>956</v>
      </c>
      <c r="M31" s="15">
        <v>1271</v>
      </c>
      <c r="N31">
        <v>900</v>
      </c>
    </row>
    <row r="32" spans="2:14" x14ac:dyDescent="0.2">
      <c r="B32" t="s">
        <v>235</v>
      </c>
      <c r="C32" s="15">
        <v>9580</v>
      </c>
      <c r="D32" s="15">
        <v>58951</v>
      </c>
      <c r="E32" s="15">
        <v>54932</v>
      </c>
      <c r="F32" s="15">
        <v>77870</v>
      </c>
      <c r="G32" s="15">
        <v>80480</v>
      </c>
      <c r="H32" s="15">
        <v>91157</v>
      </c>
      <c r="I32" s="15">
        <v>114809</v>
      </c>
      <c r="J32" s="15">
        <v>114323</v>
      </c>
      <c r="K32" s="15">
        <v>112538</v>
      </c>
      <c r="L32" s="15">
        <v>116714</v>
      </c>
      <c r="M32" s="15">
        <v>93455</v>
      </c>
      <c r="N32" s="15">
        <v>94900</v>
      </c>
    </row>
    <row r="33" spans="2:14" x14ac:dyDescent="0.2">
      <c r="B33" t="s">
        <v>236</v>
      </c>
      <c r="C33" s="15">
        <v>45196</v>
      </c>
      <c r="D33" s="15">
        <v>6746</v>
      </c>
      <c r="E33" s="15">
        <v>6219</v>
      </c>
      <c r="F33" s="15">
        <v>7497</v>
      </c>
      <c r="G33" s="15">
        <v>8049</v>
      </c>
      <c r="H33" s="15">
        <v>9380</v>
      </c>
      <c r="I33" s="15">
        <v>10686</v>
      </c>
      <c r="J33" s="15">
        <v>10870</v>
      </c>
      <c r="K33" s="15">
        <v>11841</v>
      </c>
      <c r="L33" s="15">
        <v>10657</v>
      </c>
      <c r="M33" s="15">
        <v>10809</v>
      </c>
      <c r="N33" s="15">
        <v>11366</v>
      </c>
    </row>
    <row r="34" spans="2:14" x14ac:dyDescent="0.2">
      <c r="B34" t="s">
        <v>237</v>
      </c>
      <c r="C34" s="15">
        <v>162904</v>
      </c>
      <c r="D34" s="15">
        <v>168941</v>
      </c>
      <c r="E34" s="15">
        <v>163512</v>
      </c>
      <c r="F34" s="15">
        <v>213209</v>
      </c>
      <c r="G34" s="15">
        <v>232517</v>
      </c>
      <c r="H34" s="15">
        <v>270579</v>
      </c>
      <c r="I34" s="15">
        <v>313692</v>
      </c>
      <c r="J34" s="15">
        <v>324096</v>
      </c>
      <c r="K34" s="15">
        <v>331141</v>
      </c>
      <c r="L34" s="15">
        <v>334479</v>
      </c>
      <c r="M34" s="15">
        <v>320000</v>
      </c>
      <c r="N34" s="15">
        <v>314342</v>
      </c>
    </row>
    <row r="35" spans="2:14" x14ac:dyDescent="0.2">
      <c r="B35" t="s">
        <v>238</v>
      </c>
      <c r="C35" s="15">
        <v>74424</v>
      </c>
      <c r="D35" s="15">
        <v>61709</v>
      </c>
      <c r="E35" s="15">
        <v>67568</v>
      </c>
      <c r="F35" s="15">
        <v>91795</v>
      </c>
      <c r="G35" s="15">
        <v>121283</v>
      </c>
      <c r="H35" s="15">
        <v>143471</v>
      </c>
      <c r="I35" s="15">
        <v>174985</v>
      </c>
      <c r="J35" s="15">
        <v>185241</v>
      </c>
      <c r="K35" s="15">
        <v>199062</v>
      </c>
      <c r="L35" s="15">
        <v>213194</v>
      </c>
      <c r="M35" s="15">
        <v>204303</v>
      </c>
      <c r="N35" s="15">
        <v>209686</v>
      </c>
    </row>
    <row r="36" spans="2:14" x14ac:dyDescent="0.2">
      <c r="B36" t="s">
        <v>239</v>
      </c>
      <c r="C36" s="15">
        <v>28640</v>
      </c>
      <c r="D36" s="15">
        <v>25919</v>
      </c>
      <c r="E36" s="15">
        <v>33699</v>
      </c>
      <c r="F36" s="15">
        <v>40034</v>
      </c>
      <c r="G36" s="15">
        <v>31884</v>
      </c>
      <c r="H36" s="15">
        <v>35622</v>
      </c>
      <c r="I36" s="15">
        <v>20964</v>
      </c>
      <c r="J36" s="15">
        <v>10251</v>
      </c>
      <c r="K36" s="15">
        <v>14274</v>
      </c>
      <c r="L36" s="15">
        <v>35698</v>
      </c>
      <c r="M36" s="15">
        <v>65806</v>
      </c>
      <c r="N36" s="15">
        <v>102654</v>
      </c>
    </row>
    <row r="37" spans="2:14" x14ac:dyDescent="0.2">
      <c r="B37" t="s">
        <v>40</v>
      </c>
      <c r="C37" s="15">
        <v>15337</v>
      </c>
      <c r="D37" s="15">
        <v>23767</v>
      </c>
      <c r="E37" s="15">
        <v>20338</v>
      </c>
      <c r="F37" s="15">
        <v>20813</v>
      </c>
      <c r="G37" s="15">
        <v>15771</v>
      </c>
      <c r="H37" s="15">
        <v>16308</v>
      </c>
      <c r="I37" s="15">
        <v>24620</v>
      </c>
      <c r="J37" s="15">
        <v>29380</v>
      </c>
      <c r="K37" s="15">
        <v>26379</v>
      </c>
      <c r="L37" s="15">
        <v>22971</v>
      </c>
      <c r="M37" s="15">
        <v>35656</v>
      </c>
      <c r="N37" s="15">
        <v>26313</v>
      </c>
    </row>
    <row r="38" spans="2:14" x14ac:dyDescent="0.2">
      <c r="B38" t="s">
        <v>240</v>
      </c>
      <c r="C38" s="15">
        <v>104858</v>
      </c>
      <c r="D38" s="15">
        <v>106266</v>
      </c>
      <c r="E38" s="15">
        <v>122600</v>
      </c>
      <c r="F38" s="15">
        <v>144932</v>
      </c>
      <c r="G38" s="15">
        <v>146814</v>
      </c>
      <c r="H38" s="15">
        <v>141141</v>
      </c>
      <c r="I38" s="15">
        <v>157278</v>
      </c>
      <c r="J38" s="15">
        <v>150575</v>
      </c>
      <c r="K38" s="15">
        <v>161941</v>
      </c>
      <c r="L38" s="15">
        <v>189567</v>
      </c>
      <c r="M38" s="15">
        <v>159814</v>
      </c>
      <c r="N38" s="15">
        <v>145566</v>
      </c>
    </row>
    <row r="39" spans="2:14" x14ac:dyDescent="0.2">
      <c r="B39" t="s">
        <v>241</v>
      </c>
      <c r="C39" s="15">
        <v>29272</v>
      </c>
      <c r="D39" s="15">
        <v>32656</v>
      </c>
      <c r="E39" s="15">
        <v>35085</v>
      </c>
      <c r="F39" s="15">
        <v>42138</v>
      </c>
      <c r="G39" s="15">
        <v>39014</v>
      </c>
      <c r="H39" s="15">
        <v>37457</v>
      </c>
      <c r="I39" s="15">
        <v>36089</v>
      </c>
      <c r="J39" s="15">
        <v>35240</v>
      </c>
      <c r="K39" s="15">
        <v>40755</v>
      </c>
      <c r="L39" s="15">
        <v>47788</v>
      </c>
      <c r="M39" s="15">
        <v>47269</v>
      </c>
      <c r="N39" s="15">
        <v>50126</v>
      </c>
    </row>
    <row r="40" spans="2:14" x14ac:dyDescent="0.2">
      <c r="B40" t="s">
        <v>242</v>
      </c>
      <c r="C40" s="15">
        <v>12579</v>
      </c>
      <c r="D40" s="15">
        <v>13571</v>
      </c>
      <c r="E40" s="15">
        <v>14076</v>
      </c>
      <c r="F40" s="15">
        <v>19893</v>
      </c>
      <c r="G40" s="15">
        <v>18996</v>
      </c>
      <c r="H40" s="15">
        <v>11173</v>
      </c>
      <c r="I40" s="15">
        <v>12679</v>
      </c>
      <c r="J40" s="15">
        <v>12442</v>
      </c>
      <c r="K40" s="15">
        <v>15738</v>
      </c>
      <c r="L40" s="15">
        <v>16952</v>
      </c>
      <c r="M40" s="15">
        <v>13248</v>
      </c>
      <c r="N40" s="15">
        <v>12619</v>
      </c>
    </row>
    <row r="41" spans="2:14" x14ac:dyDescent="0.2">
      <c r="B41" t="s">
        <v>243</v>
      </c>
      <c r="C41" s="15">
        <v>32116</v>
      </c>
      <c r="D41" s="15">
        <v>30460</v>
      </c>
      <c r="E41" s="15">
        <v>36078</v>
      </c>
      <c r="F41" s="15">
        <v>34614</v>
      </c>
      <c r="G41" s="15">
        <v>32649</v>
      </c>
      <c r="H41" s="15">
        <v>33727</v>
      </c>
      <c r="I41" s="15">
        <v>46792</v>
      </c>
      <c r="J41" s="15">
        <v>40669</v>
      </c>
      <c r="K41" s="15">
        <v>37016</v>
      </c>
      <c r="L41" s="15">
        <v>45807</v>
      </c>
      <c r="M41" s="15">
        <v>40834</v>
      </c>
      <c r="N41" s="15">
        <v>29684</v>
      </c>
    </row>
    <row r="42" spans="2:14" x14ac:dyDescent="0.2">
      <c r="B42" t="s">
        <v>244</v>
      </c>
      <c r="C42" s="15">
        <v>6628</v>
      </c>
      <c r="D42" s="15">
        <v>2072</v>
      </c>
      <c r="E42" s="15">
        <v>1816</v>
      </c>
      <c r="F42" s="15">
        <v>4066</v>
      </c>
      <c r="G42" s="15">
        <v>3620</v>
      </c>
      <c r="H42" s="15">
        <v>3353</v>
      </c>
      <c r="I42" s="15">
        <v>4520</v>
      </c>
      <c r="J42" s="15">
        <v>4583</v>
      </c>
      <c r="K42" s="15">
        <v>-4029</v>
      </c>
      <c r="L42" s="15">
        <v>-1743</v>
      </c>
      <c r="M42" s="15">
        <v>7557</v>
      </c>
      <c r="N42" s="15">
        <v>7799</v>
      </c>
    </row>
    <row r="43" spans="2:14" x14ac:dyDescent="0.2">
      <c r="B43" t="s">
        <v>245</v>
      </c>
      <c r="C43" s="15">
        <v>24263</v>
      </c>
      <c r="D43" s="15">
        <v>27508</v>
      </c>
      <c r="E43" s="15">
        <v>35544</v>
      </c>
      <c r="F43" s="15">
        <v>44221</v>
      </c>
      <c r="G43" s="15">
        <v>52535</v>
      </c>
      <c r="H43" s="15">
        <v>55432</v>
      </c>
      <c r="I43" s="15">
        <v>57198</v>
      </c>
      <c r="J43" s="15">
        <v>57641</v>
      </c>
      <c r="K43" s="15">
        <v>72461</v>
      </c>
      <c r="L43" s="15">
        <v>80763</v>
      </c>
      <c r="M43" s="15">
        <v>50906</v>
      </c>
      <c r="N43" s="15">
        <v>45338</v>
      </c>
    </row>
    <row r="44" spans="2:14" x14ac:dyDescent="0.2">
      <c r="B44" t="s">
        <v>246</v>
      </c>
      <c r="C44" s="15">
        <v>237315</v>
      </c>
      <c r="D44" s="15">
        <v>263184</v>
      </c>
      <c r="E44" s="15">
        <v>272580</v>
      </c>
      <c r="F44" s="15">
        <v>327192</v>
      </c>
      <c r="G44" s="15">
        <v>305703</v>
      </c>
      <c r="H44" s="15">
        <v>320179</v>
      </c>
      <c r="I44" s="15">
        <v>341570</v>
      </c>
      <c r="J44" s="15">
        <v>329061</v>
      </c>
      <c r="K44" s="15">
        <v>334674</v>
      </c>
      <c r="L44" s="15">
        <v>369521</v>
      </c>
      <c r="M44" s="15">
        <v>376973</v>
      </c>
      <c r="N44" s="15">
        <v>379189</v>
      </c>
    </row>
    <row r="47" spans="2:14" x14ac:dyDescent="0.2">
      <c r="C47" s="11">
        <v>42064</v>
      </c>
      <c r="D47" s="11">
        <v>42430</v>
      </c>
      <c r="E47" s="11">
        <v>42795</v>
      </c>
      <c r="F47" s="11">
        <v>43160</v>
      </c>
      <c r="G47" s="11">
        <v>43525</v>
      </c>
      <c r="H47" s="11">
        <v>43891</v>
      </c>
      <c r="I47" s="11">
        <v>44256</v>
      </c>
      <c r="J47" s="11">
        <v>44621</v>
      </c>
      <c r="K47" s="11">
        <v>44986</v>
      </c>
      <c r="L47" s="11">
        <v>45352</v>
      </c>
      <c r="M47" s="11">
        <v>45717</v>
      </c>
      <c r="N47" s="11">
        <v>46082</v>
      </c>
    </row>
    <row r="48" spans="2:14" x14ac:dyDescent="0.2">
      <c r="B48" t="s">
        <v>100</v>
      </c>
      <c r="C48" s="15">
        <v>35531</v>
      </c>
      <c r="D48" s="15">
        <v>37900</v>
      </c>
      <c r="E48" s="15">
        <v>30199</v>
      </c>
      <c r="F48" s="15">
        <v>23857</v>
      </c>
      <c r="G48" s="15">
        <v>18891</v>
      </c>
      <c r="H48" s="15">
        <v>26633</v>
      </c>
      <c r="I48" s="15">
        <v>29001</v>
      </c>
      <c r="J48" s="15">
        <v>14283</v>
      </c>
      <c r="K48" s="15">
        <v>35388</v>
      </c>
      <c r="L48" s="15">
        <v>67915</v>
      </c>
      <c r="M48" s="15">
        <v>63102</v>
      </c>
      <c r="N48" s="15">
        <v>13041</v>
      </c>
    </row>
    <row r="49" spans="2:14" x14ac:dyDescent="0.2">
      <c r="B49" t="s">
        <v>73</v>
      </c>
      <c r="C49" s="15">
        <v>43397</v>
      </c>
      <c r="D49" s="15">
        <v>38626</v>
      </c>
      <c r="E49" s="15">
        <v>28840</v>
      </c>
      <c r="F49" s="15">
        <v>33312</v>
      </c>
      <c r="G49" s="15">
        <v>28771</v>
      </c>
      <c r="H49" s="15">
        <v>23352</v>
      </c>
      <c r="I49" s="15">
        <v>31198</v>
      </c>
      <c r="J49" s="15">
        <v>26943</v>
      </c>
      <c r="K49" s="15">
        <v>41694</v>
      </c>
      <c r="L49" s="15">
        <v>65106</v>
      </c>
      <c r="M49" s="15">
        <v>58937</v>
      </c>
      <c r="N49" s="15">
        <v>25393</v>
      </c>
    </row>
    <row r="50" spans="2:14" x14ac:dyDescent="0.2">
      <c r="B50" t="s">
        <v>42</v>
      </c>
      <c r="C50" s="15">
        <v>-3179</v>
      </c>
      <c r="D50" s="15">
        <v>-2223</v>
      </c>
      <c r="E50" s="15">
        <v>-4152</v>
      </c>
      <c r="F50" s="15">
        <v>-10688</v>
      </c>
      <c r="G50" s="15">
        <v>-9109</v>
      </c>
      <c r="H50" s="15">
        <v>9950</v>
      </c>
      <c r="I50" s="15">
        <v>-5505</v>
      </c>
      <c r="J50">
        <v>185</v>
      </c>
      <c r="K50" s="15">
        <v>-2213</v>
      </c>
      <c r="L50" s="15">
        <v>-1876</v>
      </c>
      <c r="M50" s="15">
        <v>3573</v>
      </c>
      <c r="N50" s="15">
        <v>-1587</v>
      </c>
    </row>
    <row r="51" spans="2:14" x14ac:dyDescent="0.2">
      <c r="B51" t="s">
        <v>43</v>
      </c>
      <c r="C51" s="15">
        <v>-3692</v>
      </c>
      <c r="D51" s="15">
        <v>-5743</v>
      </c>
      <c r="E51" s="15">
        <v>-6621</v>
      </c>
      <c r="F51" s="15">
        <v>-3560</v>
      </c>
      <c r="G51" s="15">
        <v>2069</v>
      </c>
      <c r="H51" s="15">
        <v>2326</v>
      </c>
      <c r="I51" s="15">
        <v>3814</v>
      </c>
      <c r="J51">
        <v>472</v>
      </c>
      <c r="K51" s="15">
        <v>-5665</v>
      </c>
      <c r="L51" s="15">
        <v>-7265</v>
      </c>
      <c r="M51" s="15">
        <v>2127</v>
      </c>
      <c r="N51" s="15">
        <v>-4318</v>
      </c>
    </row>
    <row r="52" spans="2:14" x14ac:dyDescent="0.2">
      <c r="B52" t="s">
        <v>74</v>
      </c>
      <c r="C52" s="15">
        <v>3598</v>
      </c>
      <c r="D52" s="15">
        <v>3947</v>
      </c>
      <c r="E52" s="15">
        <v>9301</v>
      </c>
      <c r="F52" s="15">
        <v>7320</v>
      </c>
      <c r="G52" s="15">
        <v>-4692</v>
      </c>
      <c r="H52" s="15">
        <v>-8085</v>
      </c>
      <c r="I52" s="15">
        <v>5748</v>
      </c>
      <c r="J52" s="15">
        <v>-7012</v>
      </c>
      <c r="K52" s="15">
        <v>6945</v>
      </c>
      <c r="L52" s="15">
        <v>13706</v>
      </c>
      <c r="M52" s="15">
        <v>1303</v>
      </c>
      <c r="N52" s="15">
        <v>-1973</v>
      </c>
    </row>
    <row r="53" spans="2:14" x14ac:dyDescent="0.2">
      <c r="B53" t="s">
        <v>75</v>
      </c>
      <c r="C53">
        <v>0</v>
      </c>
      <c r="D53">
        <v>-520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2:14" x14ac:dyDescent="0.2">
      <c r="B54" t="s">
        <v>76</v>
      </c>
      <c r="C54">
        <v>-398</v>
      </c>
      <c r="D54" s="15">
        <v>5852</v>
      </c>
      <c r="E54" s="15">
        <v>4727</v>
      </c>
      <c r="F54">
        <v>494</v>
      </c>
      <c r="G54" s="15">
        <v>4512</v>
      </c>
      <c r="H54">
        <v>875</v>
      </c>
      <c r="I54" s="15">
        <v>-4150</v>
      </c>
      <c r="J54" s="15">
        <v>-4396</v>
      </c>
      <c r="K54" s="15">
        <v>-2194</v>
      </c>
      <c r="L54" s="15">
        <v>2760</v>
      </c>
      <c r="M54" s="15">
        <v>1153</v>
      </c>
      <c r="N54" s="15">
        <v>-1160</v>
      </c>
    </row>
    <row r="55" spans="2:14" x14ac:dyDescent="0.2">
      <c r="B55" t="s">
        <v>77</v>
      </c>
      <c r="C55" s="15">
        <v>-3672</v>
      </c>
      <c r="D55" s="15">
        <v>1313</v>
      </c>
      <c r="E55" s="15">
        <v>3254</v>
      </c>
      <c r="F55" s="15">
        <v>-6434</v>
      </c>
      <c r="G55" s="15">
        <v>-7221</v>
      </c>
      <c r="H55" s="15">
        <v>5065</v>
      </c>
      <c r="I55">
        <v>-93</v>
      </c>
      <c r="J55" s="15">
        <v>-10750</v>
      </c>
      <c r="K55" s="15">
        <v>-3127</v>
      </c>
      <c r="L55" s="15">
        <v>7325</v>
      </c>
      <c r="M55" s="15">
        <v>8156</v>
      </c>
      <c r="N55" s="15">
        <v>-9038</v>
      </c>
    </row>
    <row r="56" spans="2:14" x14ac:dyDescent="0.2">
      <c r="B56" t="s">
        <v>78</v>
      </c>
      <c r="C56" s="15">
        <v>-4194</v>
      </c>
      <c r="D56" s="15">
        <v>-2040</v>
      </c>
      <c r="E56" s="15">
        <v>-1895</v>
      </c>
      <c r="F56" s="15">
        <v>-3021</v>
      </c>
      <c r="G56" s="15">
        <v>-2659</v>
      </c>
      <c r="H56" s="15">
        <v>-1785</v>
      </c>
      <c r="I56" s="15">
        <v>-2105</v>
      </c>
      <c r="J56" s="15">
        <v>-1910</v>
      </c>
      <c r="K56" s="15">
        <v>-3179</v>
      </c>
      <c r="L56" s="15">
        <v>-4516</v>
      </c>
      <c r="M56" s="15">
        <v>-3991</v>
      </c>
      <c r="N56" s="15">
        <v>-3314</v>
      </c>
    </row>
    <row r="57" spans="2:14" x14ac:dyDescent="0.2">
      <c r="B57" t="s">
        <v>101</v>
      </c>
      <c r="C57" s="15">
        <v>-36232</v>
      </c>
      <c r="D57" s="15">
        <v>-36694</v>
      </c>
      <c r="E57" s="15">
        <v>-39571</v>
      </c>
      <c r="F57" s="15">
        <v>-25139</v>
      </c>
      <c r="G57" s="15">
        <v>-20878</v>
      </c>
      <c r="H57" s="15">
        <v>-33115</v>
      </c>
      <c r="I57" s="15">
        <v>-25672</v>
      </c>
      <c r="J57" s="15">
        <v>-4444</v>
      </c>
      <c r="K57" s="15">
        <v>-15417</v>
      </c>
      <c r="L57" s="15">
        <v>-22781</v>
      </c>
      <c r="M57" s="15">
        <v>-49982</v>
      </c>
      <c r="N57" s="15">
        <v>-23166</v>
      </c>
    </row>
    <row r="58" spans="2:14" x14ac:dyDescent="0.2">
      <c r="B58" t="s">
        <v>79</v>
      </c>
      <c r="C58" s="15">
        <v>-31962</v>
      </c>
      <c r="D58" s="15">
        <v>-31503</v>
      </c>
      <c r="E58" s="15">
        <v>-16072</v>
      </c>
      <c r="F58" s="15">
        <v>-35079</v>
      </c>
      <c r="G58" s="15">
        <v>-35304</v>
      </c>
      <c r="H58" s="15">
        <v>-29702</v>
      </c>
      <c r="I58" s="15">
        <v>-20205</v>
      </c>
      <c r="J58" s="15">
        <v>-15168</v>
      </c>
      <c r="K58" s="15">
        <v>-19230</v>
      </c>
      <c r="L58" s="15">
        <v>-31414</v>
      </c>
      <c r="M58" s="15">
        <v>-38042</v>
      </c>
      <c r="N58" s="15">
        <v>-36282</v>
      </c>
    </row>
    <row r="59" spans="2:14" x14ac:dyDescent="0.2">
      <c r="B59" t="s">
        <v>80</v>
      </c>
      <c r="C59">
        <v>74</v>
      </c>
      <c r="D59">
        <v>59</v>
      </c>
      <c r="E59">
        <v>53</v>
      </c>
      <c r="F59">
        <v>30</v>
      </c>
      <c r="G59">
        <v>67</v>
      </c>
      <c r="H59">
        <v>171</v>
      </c>
      <c r="I59">
        <v>351</v>
      </c>
      <c r="J59">
        <v>230</v>
      </c>
      <c r="K59">
        <v>285</v>
      </c>
      <c r="L59">
        <v>231</v>
      </c>
      <c r="M59">
        <v>974</v>
      </c>
      <c r="N59">
        <v>46</v>
      </c>
    </row>
    <row r="60" spans="2:14" x14ac:dyDescent="0.2">
      <c r="B60" t="s">
        <v>81</v>
      </c>
      <c r="C60" s="15">
        <v>-5461</v>
      </c>
      <c r="D60" s="15">
        <v>-4728</v>
      </c>
      <c r="E60">
        <v>-6</v>
      </c>
      <c r="F60">
        <v>-329</v>
      </c>
      <c r="G60">
        <v>-130</v>
      </c>
      <c r="H60" s="15">
        <v>-1439</v>
      </c>
      <c r="I60" s="15">
        <v>-7530</v>
      </c>
      <c r="J60" s="15">
        <v>-3008</v>
      </c>
      <c r="K60">
        <v>-50</v>
      </c>
      <c r="L60">
        <v>-74</v>
      </c>
      <c r="M60" s="15">
        <v>-12677</v>
      </c>
      <c r="N60">
        <v>-102</v>
      </c>
    </row>
    <row r="61" spans="2:14" x14ac:dyDescent="0.2">
      <c r="B61" t="s">
        <v>82</v>
      </c>
      <c r="C61">
        <v>42</v>
      </c>
      <c r="D61">
        <v>89</v>
      </c>
      <c r="E61" s="15">
        <v>1965</v>
      </c>
      <c r="F61" s="15">
        <v>2381</v>
      </c>
      <c r="G61" s="15">
        <v>5644</v>
      </c>
      <c r="H61">
        <v>21</v>
      </c>
      <c r="I61">
        <v>226</v>
      </c>
      <c r="J61">
        <v>104</v>
      </c>
      <c r="K61" s="15">
        <v>6895</v>
      </c>
      <c r="L61" s="15">
        <v>10821</v>
      </c>
      <c r="M61">
        <v>111</v>
      </c>
      <c r="N61" s="15">
        <v>10684</v>
      </c>
    </row>
    <row r="62" spans="2:14" x14ac:dyDescent="0.2">
      <c r="B62" t="s">
        <v>83</v>
      </c>
      <c r="C62">
        <v>698</v>
      </c>
      <c r="D62">
        <v>731</v>
      </c>
      <c r="E62">
        <v>638</v>
      </c>
      <c r="F62">
        <v>690</v>
      </c>
      <c r="G62">
        <v>761</v>
      </c>
      <c r="H62" s="15">
        <v>1104</v>
      </c>
      <c r="I62">
        <v>428</v>
      </c>
      <c r="J62">
        <v>653</v>
      </c>
      <c r="K62">
        <v>973</v>
      </c>
      <c r="L62" s="15">
        <v>2493</v>
      </c>
      <c r="M62" s="15">
        <v>2420</v>
      </c>
      <c r="N62" s="15">
        <v>1940</v>
      </c>
    </row>
    <row r="63" spans="2:14" x14ac:dyDescent="0.2">
      <c r="B63" t="s">
        <v>84</v>
      </c>
      <c r="C63">
        <v>80</v>
      </c>
      <c r="D63">
        <v>58</v>
      </c>
      <c r="E63">
        <v>620</v>
      </c>
      <c r="F63" s="15">
        <v>1797</v>
      </c>
      <c r="G63">
        <v>232</v>
      </c>
      <c r="H63">
        <v>21</v>
      </c>
      <c r="I63">
        <v>18</v>
      </c>
      <c r="J63">
        <v>32</v>
      </c>
      <c r="K63">
        <v>46</v>
      </c>
      <c r="L63">
        <v>47</v>
      </c>
      <c r="M63">
        <v>64</v>
      </c>
      <c r="N63">
        <v>100</v>
      </c>
    </row>
    <row r="64" spans="2:14" x14ac:dyDescent="0.2">
      <c r="B64" t="s">
        <v>86</v>
      </c>
      <c r="C64">
        <v>-160</v>
      </c>
      <c r="D64">
        <v>0</v>
      </c>
      <c r="E64">
        <v>-107</v>
      </c>
      <c r="F64">
        <v>-4</v>
      </c>
      <c r="G64">
        <v>-9</v>
      </c>
      <c r="H64">
        <v>-606</v>
      </c>
      <c r="I64">
        <v>-10</v>
      </c>
      <c r="J64">
        <v>0</v>
      </c>
      <c r="K64">
        <v>0</v>
      </c>
      <c r="L64">
        <v>-150</v>
      </c>
      <c r="M64">
        <v>0</v>
      </c>
      <c r="N64">
        <v>-5</v>
      </c>
    </row>
    <row r="65" spans="2:14" x14ac:dyDescent="0.2">
      <c r="B65" t="s">
        <v>87</v>
      </c>
      <c r="C65">
        <v>0</v>
      </c>
      <c r="D65">
        <v>0</v>
      </c>
      <c r="E65">
        <v>0</v>
      </c>
      <c r="F65">
        <v>14</v>
      </c>
      <c r="G65">
        <v>533</v>
      </c>
      <c r="H65">
        <v>0</v>
      </c>
      <c r="I65">
        <v>0</v>
      </c>
      <c r="J65">
        <v>0</v>
      </c>
      <c r="K65">
        <v>19</v>
      </c>
      <c r="L65">
        <v>107</v>
      </c>
      <c r="M65">
        <v>765</v>
      </c>
      <c r="N65">
        <v>20</v>
      </c>
    </row>
    <row r="66" spans="2:14" x14ac:dyDescent="0.2">
      <c r="B66" t="s">
        <v>88</v>
      </c>
      <c r="C66">
        <v>0</v>
      </c>
      <c r="D66">
        <v>-111</v>
      </c>
      <c r="E66">
        <v>0</v>
      </c>
      <c r="F66">
        <v>0</v>
      </c>
      <c r="G66">
        <v>-8</v>
      </c>
      <c r="H66">
        <v>-27</v>
      </c>
      <c r="I66">
        <v>0</v>
      </c>
      <c r="J66">
        <v>-98</v>
      </c>
      <c r="K66">
        <v>0</v>
      </c>
      <c r="L66">
        <v>0</v>
      </c>
      <c r="M66">
        <v>-688</v>
      </c>
      <c r="N66">
        <v>-512</v>
      </c>
    </row>
    <row r="67" spans="2:14" x14ac:dyDescent="0.2">
      <c r="B67" t="s">
        <v>89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-25</v>
      </c>
      <c r="M67">
        <v>-20</v>
      </c>
      <c r="N67">
        <v>-83</v>
      </c>
    </row>
    <row r="68" spans="2:14" x14ac:dyDescent="0.2">
      <c r="B68" t="s">
        <v>90</v>
      </c>
      <c r="C68">
        <v>456</v>
      </c>
      <c r="D68" s="15">
        <v>-1289</v>
      </c>
      <c r="E68" s="15">
        <v>-26663</v>
      </c>
      <c r="F68" s="15">
        <v>5360</v>
      </c>
      <c r="G68" s="15">
        <v>7335</v>
      </c>
      <c r="H68" s="15">
        <v>-2659</v>
      </c>
      <c r="I68" s="15">
        <v>1051</v>
      </c>
      <c r="J68" s="15">
        <v>12813</v>
      </c>
      <c r="K68" s="15">
        <v>-4357</v>
      </c>
      <c r="L68" s="15">
        <v>-4817</v>
      </c>
      <c r="M68" s="15">
        <v>-2889</v>
      </c>
      <c r="N68" s="15">
        <v>1028</v>
      </c>
    </row>
    <row r="69" spans="2:14" x14ac:dyDescent="0.2">
      <c r="B69" t="s">
        <v>102</v>
      </c>
      <c r="C69" s="15">
        <v>5201</v>
      </c>
      <c r="D69" s="15">
        <v>-3795</v>
      </c>
      <c r="E69" s="15">
        <v>6205</v>
      </c>
      <c r="F69" s="15">
        <v>2012</v>
      </c>
      <c r="G69" s="15">
        <v>8830</v>
      </c>
      <c r="H69" s="15">
        <v>3390</v>
      </c>
      <c r="I69" s="15">
        <v>9904</v>
      </c>
      <c r="J69" s="15">
        <v>-3380</v>
      </c>
      <c r="K69" s="15">
        <v>-26243</v>
      </c>
      <c r="L69" s="15">
        <v>-37006</v>
      </c>
      <c r="M69" s="15">
        <v>-18786</v>
      </c>
      <c r="N69" s="15">
        <v>-1344</v>
      </c>
    </row>
    <row r="70" spans="2:14" x14ac:dyDescent="0.2">
      <c r="B70" t="s">
        <v>91</v>
      </c>
      <c r="C70">
        <v>0</v>
      </c>
      <c r="D70" s="15">
        <v>7433</v>
      </c>
      <c r="E70">
        <v>5</v>
      </c>
      <c r="F70">
        <v>0</v>
      </c>
      <c r="G70">
        <v>0</v>
      </c>
      <c r="H70" s="15">
        <v>3889</v>
      </c>
      <c r="I70" s="15">
        <v>2603</v>
      </c>
      <c r="J70">
        <v>19</v>
      </c>
      <c r="K70">
        <v>20</v>
      </c>
      <c r="L70">
        <v>82</v>
      </c>
      <c r="M70" s="15">
        <v>1108</v>
      </c>
      <c r="N70">
        <v>18</v>
      </c>
    </row>
    <row r="71" spans="2:14" x14ac:dyDescent="0.2">
      <c r="B71" t="s">
        <v>92</v>
      </c>
      <c r="C71">
        <v>-744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2:14" x14ac:dyDescent="0.2">
      <c r="B72" t="s">
        <v>93</v>
      </c>
      <c r="C72" s="15">
        <v>36363</v>
      </c>
      <c r="D72" s="15">
        <v>19519</v>
      </c>
      <c r="E72" s="15">
        <v>33390</v>
      </c>
      <c r="F72" s="15">
        <v>37482</v>
      </c>
      <c r="G72" s="15">
        <v>51128</v>
      </c>
      <c r="H72" s="15">
        <v>38297</v>
      </c>
      <c r="I72" s="15">
        <v>46641</v>
      </c>
      <c r="J72" s="15">
        <v>46578</v>
      </c>
      <c r="K72" s="15">
        <v>43934</v>
      </c>
      <c r="L72" s="15">
        <v>18829</v>
      </c>
      <c r="M72" s="15">
        <v>13384</v>
      </c>
      <c r="N72" s="15">
        <v>26425</v>
      </c>
    </row>
    <row r="73" spans="2:14" x14ac:dyDescent="0.2">
      <c r="B73" t="s">
        <v>94</v>
      </c>
      <c r="C73" s="15">
        <v>-23332</v>
      </c>
      <c r="D73" s="15">
        <v>-24924</v>
      </c>
      <c r="E73" s="15">
        <v>-21732</v>
      </c>
      <c r="F73" s="15">
        <v>-29964</v>
      </c>
      <c r="G73" s="15">
        <v>-35198</v>
      </c>
      <c r="H73" s="15">
        <v>-29847</v>
      </c>
      <c r="I73" s="15">
        <v>-29709</v>
      </c>
      <c r="J73" s="15">
        <v>-42816</v>
      </c>
      <c r="K73" s="15">
        <v>-62557</v>
      </c>
      <c r="L73" s="15">
        <v>-47414</v>
      </c>
      <c r="M73" s="15">
        <v>-21443</v>
      </c>
      <c r="N73" s="15">
        <v>-18110</v>
      </c>
    </row>
    <row r="74" spans="2:14" x14ac:dyDescent="0.2">
      <c r="B74" t="s">
        <v>96</v>
      </c>
      <c r="C74" s="15">
        <v>-6307</v>
      </c>
      <c r="D74" s="15">
        <v>-5716</v>
      </c>
      <c r="E74" s="15">
        <v>-5336</v>
      </c>
      <c r="F74" s="15">
        <v>-5411</v>
      </c>
      <c r="G74" s="15">
        <v>-7005</v>
      </c>
      <c r="H74" s="15">
        <v>-7518</v>
      </c>
      <c r="I74" s="15">
        <v>-8123</v>
      </c>
      <c r="J74" s="15">
        <v>-9251</v>
      </c>
      <c r="K74" s="15">
        <v>-9336</v>
      </c>
      <c r="L74" s="15">
        <v>-9332</v>
      </c>
      <c r="M74" s="15">
        <v>-5814</v>
      </c>
      <c r="N74" s="15">
        <v>-5111</v>
      </c>
    </row>
    <row r="75" spans="2:14" x14ac:dyDescent="0.2">
      <c r="B75" t="s">
        <v>97</v>
      </c>
      <c r="C75">
        <v>-720</v>
      </c>
      <c r="D75">
        <v>-108</v>
      </c>
      <c r="E75">
        <v>-121</v>
      </c>
      <c r="F75">
        <v>-96</v>
      </c>
      <c r="G75">
        <v>-95</v>
      </c>
      <c r="H75">
        <v>-57</v>
      </c>
      <c r="I75">
        <v>-30</v>
      </c>
      <c r="J75">
        <v>-100</v>
      </c>
      <c r="K75">
        <v>-141</v>
      </c>
      <c r="L75" s="15">
        <v>-1059</v>
      </c>
      <c r="M75" s="15">
        <v>-2492</v>
      </c>
      <c r="N75" s="15">
        <v>-2425</v>
      </c>
    </row>
    <row r="76" spans="2:14" x14ac:dyDescent="0.2">
      <c r="B76" t="s">
        <v>98</v>
      </c>
      <c r="C76">
        <v>0</v>
      </c>
      <c r="D76">
        <v>0</v>
      </c>
      <c r="E76">
        <v>0</v>
      </c>
      <c r="F76">
        <v>0</v>
      </c>
      <c r="G76">
        <v>0</v>
      </c>
      <c r="H76" s="15">
        <v>-1346</v>
      </c>
      <c r="I76" s="15">
        <v>-1477</v>
      </c>
      <c r="J76" s="15">
        <v>-1559</v>
      </c>
      <c r="K76" s="15">
        <v>-1517</v>
      </c>
      <c r="L76" s="15">
        <v>-1924</v>
      </c>
      <c r="M76" s="15">
        <v>-2393</v>
      </c>
      <c r="N76" s="15">
        <v>-2145</v>
      </c>
    </row>
    <row r="77" spans="2:14" x14ac:dyDescent="0.2">
      <c r="B77" t="s">
        <v>99</v>
      </c>
      <c r="C77">
        <v>-57</v>
      </c>
      <c r="D77">
        <v>0</v>
      </c>
      <c r="E77">
        <v>0</v>
      </c>
      <c r="F77">
        <v>0</v>
      </c>
      <c r="G77">
        <v>0</v>
      </c>
      <c r="H77">
        <v>-29</v>
      </c>
      <c r="I77">
        <v>0</v>
      </c>
      <c r="J77" s="15">
        <v>3750</v>
      </c>
      <c r="K77" s="15">
        <v>3355</v>
      </c>
      <c r="L77" s="15">
        <v>3812</v>
      </c>
      <c r="M77" s="15">
        <v>-1136</v>
      </c>
      <c r="N77">
        <v>4</v>
      </c>
    </row>
    <row r="78" spans="2:14" x14ac:dyDescent="0.2">
      <c r="B78" t="s">
        <v>52</v>
      </c>
      <c r="C78" s="15">
        <v>4500</v>
      </c>
      <c r="D78" s="15">
        <v>-2589</v>
      </c>
      <c r="E78" s="15">
        <v>-3167</v>
      </c>
      <c r="F78">
        <v>730</v>
      </c>
      <c r="G78" s="15">
        <v>6843</v>
      </c>
      <c r="H78" s="15">
        <v>-3092</v>
      </c>
      <c r="I78" s="15">
        <v>13232</v>
      </c>
      <c r="J78" s="15">
        <v>6459</v>
      </c>
      <c r="K78" s="15">
        <v>-6272</v>
      </c>
      <c r="L78" s="15">
        <v>8128</v>
      </c>
      <c r="M78" s="15">
        <v>-5666</v>
      </c>
      <c r="N78" s="15">
        <v>-11469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331A-BDD7-4BA4-B330-A42F092009EB}">
  <dimension ref="B2:N35"/>
  <sheetViews>
    <sheetView workbookViewId="0">
      <selection activeCell="S32" sqref="S32"/>
    </sheetView>
  </sheetViews>
  <sheetFormatPr baseColWidth="10" defaultColWidth="8.83203125" defaultRowHeight="15" x14ac:dyDescent="0.2"/>
  <cols>
    <col min="2" max="2" width="28" bestFit="1" customWidth="1"/>
    <col min="3" max="14" width="7.33203125" bestFit="1" customWidth="1"/>
  </cols>
  <sheetData>
    <row r="2" spans="2:14" x14ac:dyDescent="0.2">
      <c r="C2" s="11">
        <v>40603</v>
      </c>
      <c r="D2" s="11">
        <v>40969</v>
      </c>
      <c r="E2" s="11">
        <v>41334</v>
      </c>
      <c r="F2" s="11">
        <v>41699</v>
      </c>
      <c r="G2" s="11">
        <v>42064</v>
      </c>
      <c r="H2" s="11">
        <v>42430</v>
      </c>
      <c r="I2" s="11">
        <v>42795</v>
      </c>
      <c r="J2" s="11">
        <v>43160</v>
      </c>
      <c r="K2" s="11">
        <v>43525</v>
      </c>
      <c r="L2" s="11">
        <v>43891</v>
      </c>
      <c r="M2" s="11">
        <v>44256</v>
      </c>
      <c r="N2" s="11">
        <v>44621</v>
      </c>
    </row>
    <row r="3" spans="2:14" x14ac:dyDescent="0.2">
      <c r="B3" t="s">
        <v>100</v>
      </c>
      <c r="C3" s="15">
        <v>11240</v>
      </c>
      <c r="D3" s="15">
        <v>18384</v>
      </c>
      <c r="E3" s="15">
        <v>22163</v>
      </c>
      <c r="F3" s="15">
        <v>36151</v>
      </c>
      <c r="G3" s="15">
        <v>35531</v>
      </c>
      <c r="H3" s="15">
        <v>37900</v>
      </c>
      <c r="I3" s="15">
        <v>30199</v>
      </c>
      <c r="J3" s="15">
        <v>23857</v>
      </c>
      <c r="K3" s="15">
        <v>18891</v>
      </c>
      <c r="L3" s="15">
        <v>26633</v>
      </c>
      <c r="M3" s="15">
        <v>29001</v>
      </c>
      <c r="N3" s="15">
        <v>14283</v>
      </c>
    </row>
    <row r="4" spans="2:14" x14ac:dyDescent="0.2">
      <c r="B4" t="s">
        <v>73</v>
      </c>
      <c r="C4" s="15">
        <v>16680</v>
      </c>
      <c r="D4" s="15">
        <v>22432</v>
      </c>
      <c r="E4" s="15">
        <v>24406</v>
      </c>
      <c r="F4" s="15">
        <v>36303</v>
      </c>
      <c r="G4" s="15">
        <v>43397</v>
      </c>
      <c r="H4" s="15">
        <v>38626</v>
      </c>
      <c r="I4" s="15">
        <v>28840</v>
      </c>
      <c r="J4" s="15">
        <v>33312</v>
      </c>
      <c r="K4" s="15">
        <v>28771</v>
      </c>
      <c r="L4" s="15">
        <v>23352</v>
      </c>
      <c r="M4" s="15">
        <v>31198</v>
      </c>
      <c r="N4" s="15">
        <v>26666</v>
      </c>
    </row>
    <row r="5" spans="2:14" x14ac:dyDescent="0.2">
      <c r="B5" t="s">
        <v>42</v>
      </c>
      <c r="C5" s="15">
        <v>-1422</v>
      </c>
      <c r="D5" s="15">
        <v>-6659</v>
      </c>
      <c r="E5" s="15">
        <v>-5177</v>
      </c>
      <c r="F5">
        <v>445</v>
      </c>
      <c r="G5" s="15">
        <v>-3179</v>
      </c>
      <c r="H5" s="15">
        <v>-2223</v>
      </c>
      <c r="I5" s="15">
        <v>-4152</v>
      </c>
      <c r="J5" s="15">
        <v>-10688</v>
      </c>
      <c r="K5" s="15">
        <v>-9109</v>
      </c>
      <c r="L5" s="15">
        <v>9950</v>
      </c>
      <c r="M5" s="15">
        <v>-5505</v>
      </c>
      <c r="N5">
        <v>337</v>
      </c>
    </row>
    <row r="6" spans="2:14" x14ac:dyDescent="0.2">
      <c r="B6" t="s">
        <v>43</v>
      </c>
      <c r="C6" s="15">
        <v>-2411</v>
      </c>
      <c r="D6" s="15">
        <v>-2719</v>
      </c>
      <c r="E6" s="15">
        <v>-2656</v>
      </c>
      <c r="F6" s="15">
        <v>-2853</v>
      </c>
      <c r="G6" s="15">
        <v>-3692</v>
      </c>
      <c r="H6" s="15">
        <v>-5743</v>
      </c>
      <c r="I6" s="15">
        <v>-6621</v>
      </c>
      <c r="J6" s="15">
        <v>-3560</v>
      </c>
      <c r="K6" s="15">
        <v>2069</v>
      </c>
      <c r="L6" s="15">
        <v>2326</v>
      </c>
      <c r="M6" s="15">
        <v>3814</v>
      </c>
      <c r="N6">
        <v>597</v>
      </c>
    </row>
    <row r="7" spans="2:14" x14ac:dyDescent="0.2">
      <c r="B7" t="s">
        <v>74</v>
      </c>
      <c r="C7">
        <v>344</v>
      </c>
      <c r="D7" s="15">
        <v>5867</v>
      </c>
      <c r="E7" s="15">
        <v>8132</v>
      </c>
      <c r="F7" s="15">
        <v>4694</v>
      </c>
      <c r="G7" s="15">
        <v>3598</v>
      </c>
      <c r="H7" s="15">
        <v>3947</v>
      </c>
      <c r="I7" s="15">
        <v>9301</v>
      </c>
      <c r="J7" s="15">
        <v>7320</v>
      </c>
      <c r="K7" s="15">
        <v>-4692</v>
      </c>
      <c r="L7" s="15">
        <v>-8085</v>
      </c>
      <c r="M7" s="15">
        <v>5748</v>
      </c>
      <c r="N7" s="15">
        <v>-7012</v>
      </c>
    </row>
    <row r="8" spans="2:14" x14ac:dyDescent="0.2">
      <c r="B8" t="s">
        <v>75</v>
      </c>
      <c r="C8">
        <v>0</v>
      </c>
      <c r="D8">
        <v>0</v>
      </c>
      <c r="E8">
        <v>0</v>
      </c>
      <c r="F8">
        <v>0</v>
      </c>
      <c r="G8">
        <v>0</v>
      </c>
      <c r="H8">
        <v>-520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2">
      <c r="B9" t="s">
        <v>76</v>
      </c>
      <c r="C9">
        <v>-559</v>
      </c>
      <c r="D9" s="15">
        <v>1231</v>
      </c>
      <c r="E9">
        <v>-303</v>
      </c>
      <c r="F9" s="15">
        <v>1870</v>
      </c>
      <c r="G9">
        <v>-398</v>
      </c>
      <c r="H9" s="15">
        <v>5852</v>
      </c>
      <c r="I9" s="15">
        <v>4727</v>
      </c>
      <c r="J9">
        <v>494</v>
      </c>
      <c r="K9" s="15">
        <v>4512</v>
      </c>
      <c r="L9">
        <v>875</v>
      </c>
      <c r="M9" s="15">
        <v>-4150</v>
      </c>
      <c r="N9" s="15">
        <v>-4396</v>
      </c>
    </row>
    <row r="10" spans="2:14" x14ac:dyDescent="0.2">
      <c r="B10" t="s">
        <v>77</v>
      </c>
      <c r="C10" s="15">
        <v>-4048</v>
      </c>
      <c r="D10" s="15">
        <v>-2280</v>
      </c>
      <c r="E10">
        <v>-3</v>
      </c>
      <c r="F10" s="15">
        <v>4157</v>
      </c>
      <c r="G10" s="15">
        <v>-3672</v>
      </c>
      <c r="H10" s="15">
        <v>1313</v>
      </c>
      <c r="I10" s="15">
        <v>3254</v>
      </c>
      <c r="J10" s="15">
        <v>-6434</v>
      </c>
      <c r="K10" s="15">
        <v>-7221</v>
      </c>
      <c r="L10" s="15">
        <v>5065</v>
      </c>
      <c r="M10">
        <v>-93</v>
      </c>
      <c r="N10" s="15">
        <v>-10474</v>
      </c>
    </row>
    <row r="11" spans="2:14" x14ac:dyDescent="0.2">
      <c r="B11" t="s">
        <v>78</v>
      </c>
      <c r="C11" s="15">
        <v>-1391</v>
      </c>
      <c r="D11" s="15">
        <v>-1768</v>
      </c>
      <c r="E11" s="15">
        <v>-2240</v>
      </c>
      <c r="F11" s="15">
        <v>-4308</v>
      </c>
      <c r="G11" s="15">
        <v>-4194</v>
      </c>
      <c r="H11" s="15">
        <v>-2040</v>
      </c>
      <c r="I11" s="15">
        <v>-1895</v>
      </c>
      <c r="J11" s="15">
        <v>-3021</v>
      </c>
      <c r="K11" s="15">
        <v>-2659</v>
      </c>
      <c r="L11" s="15">
        <v>-1785</v>
      </c>
      <c r="M11" s="15">
        <v>-2105</v>
      </c>
      <c r="N11" s="15">
        <v>-1910</v>
      </c>
    </row>
    <row r="12" spans="2:14" x14ac:dyDescent="0.2">
      <c r="B12" t="s">
        <v>101</v>
      </c>
      <c r="C12" s="15">
        <v>-7023</v>
      </c>
      <c r="D12" s="15">
        <v>-19464</v>
      </c>
      <c r="E12" s="15">
        <v>-22969</v>
      </c>
      <c r="F12" s="15">
        <v>-27991</v>
      </c>
      <c r="G12" s="15">
        <v>-36232</v>
      </c>
      <c r="H12" s="15">
        <v>-36694</v>
      </c>
      <c r="I12" s="15">
        <v>-39571</v>
      </c>
      <c r="J12" s="15">
        <v>-25139</v>
      </c>
      <c r="K12" s="15">
        <v>-20878</v>
      </c>
      <c r="L12" s="15">
        <v>-33115</v>
      </c>
      <c r="M12" s="15">
        <v>-25672</v>
      </c>
      <c r="N12" s="15">
        <v>-4444</v>
      </c>
    </row>
    <row r="13" spans="2:14" x14ac:dyDescent="0.2">
      <c r="B13" t="s">
        <v>79</v>
      </c>
      <c r="C13" s="15">
        <v>-8124</v>
      </c>
      <c r="D13" s="15">
        <v>-13876</v>
      </c>
      <c r="E13" s="15">
        <v>-18863</v>
      </c>
      <c r="F13" s="15">
        <v>-26975</v>
      </c>
      <c r="G13" s="15">
        <v>-31962</v>
      </c>
      <c r="H13" s="15">
        <v>-31503</v>
      </c>
      <c r="I13" s="15">
        <v>-16072</v>
      </c>
      <c r="J13" s="15">
        <v>-35079</v>
      </c>
      <c r="K13" s="15">
        <v>-35304</v>
      </c>
      <c r="L13" s="15">
        <v>-29702</v>
      </c>
      <c r="M13" s="15">
        <v>-20205</v>
      </c>
      <c r="N13" s="15">
        <v>-15168</v>
      </c>
    </row>
    <row r="14" spans="2:14" x14ac:dyDescent="0.2">
      <c r="B14" t="s">
        <v>80</v>
      </c>
      <c r="C14">
        <v>11</v>
      </c>
      <c r="D14">
        <v>93</v>
      </c>
      <c r="E14">
        <v>37</v>
      </c>
      <c r="F14">
        <v>50</v>
      </c>
      <c r="G14">
        <v>74</v>
      </c>
      <c r="H14">
        <v>59</v>
      </c>
      <c r="I14">
        <v>53</v>
      </c>
      <c r="J14">
        <v>30</v>
      </c>
      <c r="K14">
        <v>67</v>
      </c>
      <c r="L14">
        <v>171</v>
      </c>
      <c r="M14">
        <v>351</v>
      </c>
      <c r="N14">
        <v>230</v>
      </c>
    </row>
    <row r="15" spans="2:14" x14ac:dyDescent="0.2">
      <c r="B15" t="s">
        <v>81</v>
      </c>
      <c r="C15">
        <v>-147</v>
      </c>
      <c r="D15" s="15">
        <v>-5857</v>
      </c>
      <c r="E15">
        <v>73</v>
      </c>
      <c r="F15">
        <v>-429</v>
      </c>
      <c r="G15" s="15">
        <v>-5461</v>
      </c>
      <c r="H15" s="15">
        <v>-4728</v>
      </c>
      <c r="I15">
        <v>-6</v>
      </c>
      <c r="J15">
        <v>-329</v>
      </c>
      <c r="K15">
        <v>-130</v>
      </c>
      <c r="L15" s="15">
        <v>-1439</v>
      </c>
      <c r="M15" s="15">
        <v>-7530</v>
      </c>
      <c r="N15" s="15">
        <v>-3008</v>
      </c>
    </row>
    <row r="16" spans="2:14" x14ac:dyDescent="0.2">
      <c r="B16" t="s">
        <v>82</v>
      </c>
      <c r="C16">
        <v>7</v>
      </c>
      <c r="D16">
        <v>84</v>
      </c>
      <c r="E16">
        <v>34</v>
      </c>
      <c r="F16">
        <v>4</v>
      </c>
      <c r="G16">
        <v>42</v>
      </c>
      <c r="H16">
        <v>89</v>
      </c>
      <c r="I16" s="15">
        <v>1965</v>
      </c>
      <c r="J16" s="15">
        <v>2381</v>
      </c>
      <c r="K16" s="15">
        <v>5644</v>
      </c>
      <c r="L16">
        <v>21</v>
      </c>
      <c r="M16">
        <v>226</v>
      </c>
      <c r="N16">
        <v>104</v>
      </c>
    </row>
    <row r="17" spans="2:14" x14ac:dyDescent="0.2">
      <c r="B17" t="s">
        <v>83</v>
      </c>
      <c r="C17">
        <v>314</v>
      </c>
      <c r="D17">
        <v>467</v>
      </c>
      <c r="E17">
        <v>713</v>
      </c>
      <c r="F17">
        <v>653</v>
      </c>
      <c r="G17">
        <v>698</v>
      </c>
      <c r="H17">
        <v>731</v>
      </c>
      <c r="I17">
        <v>638</v>
      </c>
      <c r="J17">
        <v>690</v>
      </c>
      <c r="K17">
        <v>761</v>
      </c>
      <c r="L17" s="15">
        <v>1104</v>
      </c>
      <c r="M17">
        <v>428</v>
      </c>
      <c r="N17">
        <v>653</v>
      </c>
    </row>
    <row r="18" spans="2:14" x14ac:dyDescent="0.2">
      <c r="B18" t="s">
        <v>84</v>
      </c>
      <c r="C18">
        <v>98</v>
      </c>
      <c r="D18">
        <v>70</v>
      </c>
      <c r="E18">
        <v>95</v>
      </c>
      <c r="F18">
        <v>40</v>
      </c>
      <c r="G18">
        <v>80</v>
      </c>
      <c r="H18">
        <v>58</v>
      </c>
      <c r="I18">
        <v>620</v>
      </c>
      <c r="J18" s="15">
        <v>1797</v>
      </c>
      <c r="K18">
        <v>232</v>
      </c>
      <c r="L18">
        <v>21</v>
      </c>
      <c r="M18">
        <v>18</v>
      </c>
      <c r="N18">
        <v>32</v>
      </c>
    </row>
    <row r="19" spans="2:14" x14ac:dyDescent="0.2">
      <c r="B19" t="s">
        <v>85</v>
      </c>
      <c r="C19">
        <v>-70</v>
      </c>
      <c r="D19">
        <v>-304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2">
      <c r="B20" t="s">
        <v>86</v>
      </c>
      <c r="C20">
        <v>-4</v>
      </c>
      <c r="D20">
        <v>-9</v>
      </c>
      <c r="E20">
        <v>0</v>
      </c>
      <c r="F20">
        <v>0</v>
      </c>
      <c r="G20">
        <v>-160</v>
      </c>
      <c r="H20">
        <v>0</v>
      </c>
      <c r="I20">
        <v>-107</v>
      </c>
      <c r="J20">
        <v>-4</v>
      </c>
      <c r="K20">
        <v>-9</v>
      </c>
      <c r="L20">
        <v>-606</v>
      </c>
      <c r="M20">
        <v>-10</v>
      </c>
      <c r="N20">
        <v>0</v>
      </c>
    </row>
    <row r="21" spans="2:14" x14ac:dyDescent="0.2">
      <c r="B21" t="s">
        <v>87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</v>
      </c>
      <c r="K21">
        <v>533</v>
      </c>
      <c r="L21">
        <v>0</v>
      </c>
      <c r="M21">
        <v>0</v>
      </c>
      <c r="N21">
        <v>0</v>
      </c>
    </row>
    <row r="22" spans="2:14" x14ac:dyDescent="0.2">
      <c r="B22" t="s">
        <v>88</v>
      </c>
      <c r="C22">
        <v>2</v>
      </c>
      <c r="D22">
        <v>0</v>
      </c>
      <c r="E22">
        <v>0</v>
      </c>
      <c r="F22">
        <v>-185</v>
      </c>
      <c r="G22">
        <v>0</v>
      </c>
      <c r="H22">
        <v>-111</v>
      </c>
      <c r="I22">
        <v>0</v>
      </c>
      <c r="J22">
        <v>0</v>
      </c>
      <c r="K22">
        <v>-8</v>
      </c>
      <c r="L22">
        <v>-27</v>
      </c>
      <c r="M22">
        <v>0</v>
      </c>
      <c r="N22">
        <v>-98</v>
      </c>
    </row>
    <row r="23" spans="2:14" x14ac:dyDescent="0.2">
      <c r="B23" t="s">
        <v>89</v>
      </c>
      <c r="C23">
        <v>5</v>
      </c>
      <c r="D23">
        <v>-3</v>
      </c>
      <c r="E23">
        <v>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2">
      <c r="B24" t="s">
        <v>90</v>
      </c>
      <c r="C24">
        <v>884</v>
      </c>
      <c r="D24">
        <v>-129</v>
      </c>
      <c r="E24" s="15">
        <v>-5103</v>
      </c>
      <c r="F24" s="15">
        <v>-1149</v>
      </c>
      <c r="G24">
        <v>456</v>
      </c>
      <c r="H24" s="15">
        <v>-1289</v>
      </c>
      <c r="I24" s="15">
        <v>-26663</v>
      </c>
      <c r="J24" s="15">
        <v>5360</v>
      </c>
      <c r="K24" s="15">
        <v>7335</v>
      </c>
      <c r="L24" s="15">
        <v>-2659</v>
      </c>
      <c r="M24" s="15">
        <v>1051</v>
      </c>
      <c r="N24" s="15">
        <v>12813</v>
      </c>
    </row>
    <row r="25" spans="2:14" x14ac:dyDescent="0.2">
      <c r="B25" t="s">
        <v>102</v>
      </c>
      <c r="C25" s="15">
        <v>-1401</v>
      </c>
      <c r="D25" s="15">
        <v>6567</v>
      </c>
      <c r="E25" s="15">
        <v>-1692</v>
      </c>
      <c r="F25" s="15">
        <v>-3883</v>
      </c>
      <c r="G25" s="15">
        <v>5201</v>
      </c>
      <c r="H25" s="15">
        <v>-3795</v>
      </c>
      <c r="I25" s="15">
        <v>6205</v>
      </c>
      <c r="J25" s="15">
        <v>2012</v>
      </c>
      <c r="K25" s="15">
        <v>8830</v>
      </c>
      <c r="L25" s="15">
        <v>3390</v>
      </c>
      <c r="M25" s="15">
        <v>9904</v>
      </c>
      <c r="N25" s="15">
        <v>-3380</v>
      </c>
    </row>
    <row r="26" spans="2:14" x14ac:dyDescent="0.2">
      <c r="B26" t="s">
        <v>91</v>
      </c>
      <c r="C26" s="15">
        <v>3258</v>
      </c>
      <c r="D26">
        <v>139</v>
      </c>
      <c r="E26">
        <v>1</v>
      </c>
      <c r="F26">
        <v>0</v>
      </c>
      <c r="G26">
        <v>0</v>
      </c>
      <c r="H26" s="15">
        <v>7433</v>
      </c>
      <c r="I26">
        <v>5</v>
      </c>
      <c r="J26">
        <v>0</v>
      </c>
      <c r="K26">
        <v>0</v>
      </c>
      <c r="L26" s="15">
        <v>3889</v>
      </c>
      <c r="M26" s="15">
        <v>2603</v>
      </c>
      <c r="N26">
        <v>19</v>
      </c>
    </row>
    <row r="27" spans="2:14" x14ac:dyDescent="0.2">
      <c r="B27" t="s">
        <v>92</v>
      </c>
      <c r="C27">
        <v>0</v>
      </c>
      <c r="D27">
        <v>0</v>
      </c>
      <c r="E27">
        <v>-97</v>
      </c>
      <c r="F27">
        <v>-658</v>
      </c>
      <c r="G27">
        <v>-744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2">
      <c r="B28" t="s">
        <v>93</v>
      </c>
      <c r="C28" s="15">
        <v>15530</v>
      </c>
      <c r="D28" s="15">
        <v>27462</v>
      </c>
      <c r="E28" s="15">
        <v>27863</v>
      </c>
      <c r="F28" s="15">
        <v>33258</v>
      </c>
      <c r="G28" s="15">
        <v>36363</v>
      </c>
      <c r="H28" s="15">
        <v>19519</v>
      </c>
      <c r="I28" s="15">
        <v>33390</v>
      </c>
      <c r="J28" s="15">
        <v>37482</v>
      </c>
      <c r="K28" s="15">
        <v>51128</v>
      </c>
      <c r="L28" s="15">
        <v>38297</v>
      </c>
      <c r="M28" s="15">
        <v>46641</v>
      </c>
      <c r="N28" s="15">
        <v>46578</v>
      </c>
    </row>
    <row r="29" spans="2:14" x14ac:dyDescent="0.2">
      <c r="B29" t="s">
        <v>94</v>
      </c>
      <c r="C29" s="15">
        <v>-16641</v>
      </c>
      <c r="D29" s="15">
        <v>-15010</v>
      </c>
      <c r="E29" s="15">
        <v>-20395</v>
      </c>
      <c r="F29" s="15">
        <v>-29141</v>
      </c>
      <c r="G29" s="15">
        <v>-23332</v>
      </c>
      <c r="H29" s="15">
        <v>-24924</v>
      </c>
      <c r="I29" s="15">
        <v>-21732</v>
      </c>
      <c r="J29" s="15">
        <v>-29964</v>
      </c>
      <c r="K29" s="15">
        <v>-35198</v>
      </c>
      <c r="L29" s="15">
        <v>-29847</v>
      </c>
      <c r="M29" s="15">
        <v>-29709</v>
      </c>
      <c r="N29" s="15">
        <v>-42816</v>
      </c>
    </row>
    <row r="30" spans="2:14" x14ac:dyDescent="0.2">
      <c r="B30" t="s">
        <v>95</v>
      </c>
      <c r="C30">
        <v>339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2">
      <c r="B31" t="s">
        <v>96</v>
      </c>
      <c r="C31" s="15">
        <v>-2469</v>
      </c>
      <c r="D31" s="15">
        <v>-3374</v>
      </c>
      <c r="E31" s="15">
        <v>-4666</v>
      </c>
      <c r="F31" s="15">
        <v>-6171</v>
      </c>
      <c r="G31" s="15">
        <v>-6307</v>
      </c>
      <c r="H31" s="15">
        <v>-5716</v>
      </c>
      <c r="I31" s="15">
        <v>-5336</v>
      </c>
      <c r="J31" s="15">
        <v>-5411</v>
      </c>
      <c r="K31" s="15">
        <v>-7005</v>
      </c>
      <c r="L31" s="15">
        <v>-7518</v>
      </c>
      <c r="M31" s="15">
        <v>-8123</v>
      </c>
      <c r="N31" s="15">
        <v>-9251</v>
      </c>
    </row>
    <row r="32" spans="2:14" x14ac:dyDescent="0.2">
      <c r="B32" t="s">
        <v>97</v>
      </c>
      <c r="C32" s="15">
        <v>-1020</v>
      </c>
      <c r="D32" s="15">
        <v>-1503</v>
      </c>
      <c r="E32" s="15">
        <v>-1551</v>
      </c>
      <c r="F32">
        <v>-722</v>
      </c>
      <c r="G32">
        <v>-720</v>
      </c>
      <c r="H32">
        <v>-108</v>
      </c>
      <c r="I32">
        <v>-121</v>
      </c>
      <c r="J32">
        <v>-96</v>
      </c>
      <c r="K32">
        <v>-95</v>
      </c>
      <c r="L32">
        <v>-57</v>
      </c>
      <c r="M32">
        <v>-30</v>
      </c>
      <c r="N32">
        <v>-100</v>
      </c>
    </row>
    <row r="33" spans="2:14" x14ac:dyDescent="0.2">
      <c r="B33" t="s">
        <v>98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5">
        <v>-1346</v>
      </c>
      <c r="M33" s="15">
        <v>-1477</v>
      </c>
      <c r="N33" s="15">
        <v>-1559</v>
      </c>
    </row>
    <row r="34" spans="2:14" x14ac:dyDescent="0.2">
      <c r="B34" t="s">
        <v>99</v>
      </c>
      <c r="C34">
        <v>-399</v>
      </c>
      <c r="D34" s="15">
        <v>-1147</v>
      </c>
      <c r="E34" s="15">
        <v>-2849</v>
      </c>
      <c r="F34">
        <v>-450</v>
      </c>
      <c r="G34">
        <v>-57</v>
      </c>
      <c r="H34">
        <v>0</v>
      </c>
      <c r="I34">
        <v>0</v>
      </c>
      <c r="J34">
        <v>0</v>
      </c>
      <c r="K34">
        <v>0</v>
      </c>
      <c r="L34">
        <v>-29</v>
      </c>
      <c r="M34">
        <v>0</v>
      </c>
      <c r="N34" s="15">
        <v>3750</v>
      </c>
    </row>
    <row r="35" spans="2:14" x14ac:dyDescent="0.2">
      <c r="B35" t="s">
        <v>52</v>
      </c>
      <c r="C35" s="15">
        <v>2815</v>
      </c>
      <c r="D35" s="15">
        <v>5488</v>
      </c>
      <c r="E35" s="15">
        <v>-2499</v>
      </c>
      <c r="F35" s="15">
        <v>4277</v>
      </c>
      <c r="G35" s="15">
        <v>4500</v>
      </c>
      <c r="H35" s="15">
        <v>-2589</v>
      </c>
      <c r="I35" s="15">
        <v>-3167</v>
      </c>
      <c r="J35">
        <v>730</v>
      </c>
      <c r="K35" s="15">
        <v>6843</v>
      </c>
      <c r="L35" s="15">
        <v>-3092</v>
      </c>
      <c r="M35" s="15">
        <v>13232</v>
      </c>
      <c r="N35" s="15">
        <v>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DCF&gt;</vt:lpstr>
      <vt:lpstr>WACC</vt:lpstr>
      <vt:lpstr>DATA1&gt;</vt:lpstr>
      <vt:lpstr>Beta comp</vt:lpstr>
      <vt:lpstr>Rm</vt:lpstr>
      <vt:lpstr>Intrinsic growth</vt:lpstr>
      <vt:lpstr>DCF</vt:lpstr>
      <vt:lpstr>Financials&gt;</vt:lpstr>
      <vt:lpstr>Historical Data</vt:lpstr>
      <vt:lpstr>Ratio Analysis</vt:lpstr>
      <vt:lpstr>Data&gt;</vt:lpstr>
      <vt:lpstr>Data Sheet</vt:lpstr>
      <vt:lpstr>RawFS</vt:lpstr>
      <vt:lpstr>Cash Flow Data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Ankit Singh</cp:lastModifiedBy>
  <dcterms:created xsi:type="dcterms:W3CDTF">2023-01-14T08:22:33Z</dcterms:created>
  <dcterms:modified xsi:type="dcterms:W3CDTF">2026-07-08T21:47:06Z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